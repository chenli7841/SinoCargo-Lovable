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e3334b87e1b4f7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1b015f6e1df94743"/>
  </x:sheets>
</x:workbook>
</file>

<file path=xl/sharedStrings.xml><?xml version="1.0" encoding="utf-8"?>
<x:sst xmlns:x="http://schemas.openxmlformats.org/spreadsheetml/2006/main">
  <x:si>
    <x:t xml:space="preserve">名称</x:t>
  </x:si>
  <x:si>
    <x:t xml:space="preserve">图片</x:t>
  </x:si>
  <x:si>
    <x:t xml:space="preserve">货号</x:t>
  </x:si>
  <x:si>
    <x:t xml:space="preserve">规格</x:t>
  </x:si>
  <x:si>
    <x:t xml:space="preserve">材质</x:t>
  </x:si>
  <x:si>
    <x:t xml:space="preserve">颜色</x:t>
  </x:si>
  <x:si>
    <x:t xml:space="preserve">产品尺寸(cm)</x:t>
  </x:si>
  <x:si>
    <x:t xml:space="preserve">【独立包装】尺寸 (cm)</x:t>
  </x:si>
  <x:si>
    <x:t xml:space="preserve">净重（g)</x:t>
  </x:si>
  <x:si>
    <x:t xml:space="preserve">毛重（g）</x:t>
  </x:si>
  <x:si>
    <x:t xml:space="preserve">包装方式</x:t>
  </x:si>
  <x:si>
    <x:t xml:space="preserve">装箱/打捆数</x:t>
  </x:si>
  <x:si>
    <x:t xml:space="preserve">外箱/打捆尺寸</x:t>
  </x:si>
  <x:si>
    <x:t xml:space="preserve">大货毛重       （kg）</x:t>
  </x:si>
  <x:si>
    <x:t xml:space="preserve">批发价</x:t>
  </x:si>
  <x:si>
    <x:t xml:space="preserve">代发运费</x:t>
  </x:si>
  <x:si>
    <x:t xml:space="preserve">36*27*22大号条纹收纳盒</x:t>
  </x:si>
  <x:si>
    <x:t xml:space="preserve">868B</x:t>
  </x:si>
  <x:si>
    <x:t xml:space="preserve">独立包装</x:t>
  </x:si>
  <x:si>
    <x:t xml:space="preserve">PET</x:t>
  </x:si>
  <x:si>
    <x:t xml:space="preserve">白色、黑色、透明</x:t>
  </x:si>
  <x:si>
    <x:t xml:space="preserve">36*22*27</x:t>
  </x:si>
  <x:si>
    <x:t xml:space="preserve">29.5*4*39</x:t>
  </x:si>
  <x:si>
    <x:t xml:space="preserve">独立纸盒</x:t>
  </x:si>
  <x:si>
    <x:t xml:space="preserve">27*22*18中号条纹手办盒</x:t>
  </x:si>
  <x:si>
    <x:t xml:space="preserve">898B</x:t>
  </x:si>
  <x:si>
    <x:t xml:space="preserve">27*22*18</x:t>
  </x:si>
  <x:si>
    <x:t xml:space="preserve">24.7*3.5*30</x:t>
  </x:si>
  <x:si>
    <x:t xml:space="preserve">蜂窝手办盒</x:t>
  </x:si>
  <x:si>
    <x:t xml:space="preserve">中号</x:t>
  </x:si>
  <x:si>
    <x:t xml:space="preserve">PET+PS</x:t>
  </x:si>
  <x:si>
    <x:t xml:space="preserve">奶油色+透明</x:t>
  </x:si>
  <x:si>
    <x:t xml:space="preserve">29.5*17.5*22</x:t>
  </x:si>
  <x:si>
    <x:t xml:space="preserve">30*18*23.5</x:t>
  </x:si>
  <x:si>
    <x:t xml:space="preserve">大号</x:t>
  </x:si>
  <x:si>
    <x:t xml:space="preserve">34.5*17.5*20</x:t>
  </x:si>
  <x:si>
    <x:t xml:space="preserve">35*18*21.5</x:t>
  </x:si>
  <x:si>
    <x:t xml:space="preserve">集装箱盲盒</x:t>
  </x:si>
  <x:si>
    <x:t xml:space="preserve">一个装</x:t>
  </x:si>
  <x:si>
    <x:t xml:space="preserve">全透明、白色</x:t>
  </x:si>
  <x:si>
    <x:t xml:space="preserve">37*16*18.3</x:t>
  </x:si>
  <x:si>
    <x:t xml:space="preserve">39.3*3.7*20</x:t>
  </x:si>
  <x:si>
    <x:t xml:space="preserve">15.5</x:t>
  </x:si>
  <x:si>
    <x:t xml:space="preserve">积木款盲盒</x:t>
  </x:si>
  <x:si>
    <x:t xml:space="preserve">B01</x:t>
  </x:si>
  <x:si>
    <x:t xml:space="preserve">大号积木款</x:t>
  </x:si>
  <x:si>
    <x:t xml:space="preserve">PET+PP</x:t>
  </x:si>
  <x:si>
    <x:t xml:space="preserve">透明</x:t>
  </x:si>
  <x:si>
    <x:t xml:space="preserve">36*23*27</x:t>
  </x:si>
  <x:si>
    <x:t xml:space="preserve">/</x:t>
  </x:si>
  <x:si>
    <x:t xml:space="preserve">27.3</x:t>
  </x:si>
  <x:si>
    <x:t xml:space="preserve">B05</x:t>
  </x:si>
  <x:si>
    <x:t xml:space="preserve">小号积木款</x:t>
  </x:si>
  <x:si>
    <x:t xml:space="preserve">27*17*22</x:t>
  </x:si>
  <x:si>
    <x:t xml:space="preserve">20.7</x:t>
  </x:si>
  <x:si>
    <x:t xml:space="preserve">积木款集装箱盲盒</x:t>
  </x:si>
  <x:si>
    <x:t xml:space="preserve">B09</x:t>
  </x:si>
  <x:si>
    <x:t xml:space="preserve">集装箱积木款</x:t>
  </x:si>
  <x:si>
    <x:t xml:space="preserve">34*17*19</x:t>
  </x:si>
  <x:si>
    <x:t xml:space="preserve">38*20*4</x:t>
  </x:si>
  <x:si>
    <x:t xml:space="preserve">22.9</x:t>
  </x:si>
  <x:si>
    <x:t xml:space="preserve">30*25*18cm带2个隔板</x:t>
  </x:si>
  <x:si>
    <x:t xml:space="preserve">透明色+白色
/全透明</x:t>
  </x:si>
  <x:si>
    <x:t xml:space="preserve">30*18*24</x:t>
  </x:si>
  <x:si>
    <x:t xml:space="preserve">31*24.5*3.5</x:t>
  </x:si>
  <x:si>
    <x:t xml:space="preserve">24.3*3.5*31</x:t>
  </x:si>
  <x:si>
    <x:t xml:space="preserve">27*22*18带2个隔板</x:t>
  </x:si>
  <x:si>
    <x:t xml:space="preserve">白色、透明</x:t>
  </x:si>
  <x:si>
    <x:t xml:space="preserve">27*22*18无隔板</x:t>
  </x:si>
  <x:si>
    <x:t xml:space="preserve">898A</x:t>
  </x:si>
  <x:si>
    <x:t xml:space="preserve">LABUBU展示盒</x:t>
  </x:si>
  <x:si>
    <x:t xml:space="preserve">独立包装纸</x:t>
  </x:si>
  <x:si>
    <x:t xml:space="preserve">PET+ABS</x:t>
  </x:si>
  <x:si>
    <x:t xml:space="preserve">奶油白/蓝色/粉色</x:t>
  </x:si>
  <x:si>
    <x:t xml:space="preserve">18*29*22</x:t>
  </x:si>
  <x:si>
    <x:t xml:space="preserve">23*23*30</x:t>
  </x:si>
  <x:si>
    <x:t xml:space="preserve">46*30*69</x:t>
  </x:si>
  <x:si>
    <x:t xml:space="preserve">上墙置物架</x:t>
  </x:si>
  <x:si>
    <x:t xml:space="preserve">B010</x:t>
  </x:si>
  <x:si>
    <x:t xml:space="preserve">上墙盲盒架</x:t>
  </x:si>
  <x:si>
    <x:t xml:space="preserve">彩色/白色</x:t>
  </x:si>
  <x:si>
    <x:t xml:space="preserve">33*36*6</x:t>
  </x:si>
  <x:si>
    <x:t xml:space="preserve">7*5*37</x:t>
  </x:si>
  <x:si>
    <x:t xml:space="preserve">12.5</x:t>
  </x:si>
  <x:si>
    <x:t xml:space="preserve">36*27*22cm包包收纳盒</x:t>
  </x:si>
  <x:si>
    <x:t xml:space="preserve">1个装</x:t>
  </x:si>
  <x:si>
    <x:t xml:space="preserve">36*27*22.5</x:t>
  </x:si>
  <x:si>
    <x:t xml:space="preserve">42*28*5</x:t>
  </x:si>
  <x:si>
    <x:t xml:space="preserve">19</x:t>
  </x:si>
  <x:si>
    <x:t xml:space="preserve">40*30*25收纳盒</x:t>
  </x:si>
  <x:si>
    <x:t xml:space="preserve">B07</x:t>
  </x:si>
  <x:si>
    <x:t xml:space="preserve">透明无隔板</x:t>
  </x:si>
  <x:si>
    <x:t xml:space="preserve">30*25*40</x:t>
  </x:si>
  <x:si>
    <x:t xml:space="preserve">32.5*3.3*43</x:t>
  </x:si>
  <x:si>
    <x:t xml:space="preserve">B07-1</x:t>
  </x:si>
  <x:si>
    <x:t xml:space="preserve">透明带1个隔板</x:t>
  </x:si>
  <x:si>
    <x:t xml:space="preserve">40*30*25</x:t>
  </x:si>
  <x:si>
    <x:t xml:space="preserve">B07-2</x:t>
  </x:si>
  <x:si>
    <x:t xml:space="preserve">透明带2个隔板</x:t>
  </x:si>
  <x:si>
    <x:t xml:space="preserve">B07-3</x:t>
  </x:si>
  <x:si>
    <x:t xml:space="preserve">33*33*45cm头盔盒</x:t>
  </x:si>
  <x:si>
    <x:t xml:space="preserve">透明独立包装</x:t>
  </x:si>
  <x:si>
    <x:t xml:space="preserve">33*33*45</x:t>
  </x:si>
  <x:si>
    <x:t xml:space="preserve">48.2*7*36.5</x:t>
  </x:si>
  <x:si>
    <x:t xml:space="preserve">36</x:t>
  </x:si>
  <x:si>
    <x:t xml:space="preserve">头盔盒隔板</x:t>
  </x:si>
  <x:si>
    <x:t xml:space="preserve">7</x:t>
  </x:si>
  <x:si>
    <x:t xml:space="preserve">50*37*30巨大号透明展示盒（无格）</x:t>
  </x:si>
  <x:si>
    <x:t xml:space="preserve">50*29.5*37</x:t>
  </x:si>
  <x:si>
    <x:t xml:space="preserve">外箱尺寸：56*45*42cm             每个独立包装尺寸：40*7*57</x:t>
  </x:si>
  <x:si>
    <x:t xml:space="preserve">47</x:t>
  </x:si>
  <x:si>
    <x:t xml:space="preserve">60*35*30labubu收纳盒</x:t>
  </x:si>
  <x:si>
    <x:t xml:space="preserve">B012</x:t>
  </x:si>
  <x:si>
    <x:t xml:space="preserve">35*30*60</x:t>
  </x:si>
  <x:si>
    <x:t xml:space="preserve">37*4*63</x:t>
  </x:si>
  <x:si>
    <x:t xml:space="preserve">57</x:t>
  </x:si>
  <x:si>
    <x:t xml:space="preserve">23*27*13无隔板</x:t>
  </x:si>
  <x:si>
    <x:t xml:space="preserve">B06</x:t>
  </x:si>
  <x:si>
    <x:t xml:space="preserve">无隔板</x:t>
  </x:si>
  <x:si>
    <x:t xml:space="preserve">透明/奶油白</x:t>
  </x:si>
  <x:si>
    <x:t xml:space="preserve">27*12*23</x:t>
  </x:si>
  <x:si>
    <x:t xml:space="preserve">28*23*3.5</x:t>
  </x:si>
  <x:si>
    <x:t xml:space="preserve">44*25*29.5</x:t>
  </x:si>
  <x:si>
    <x:t xml:space="preserve">13</x:t>
  </x:si>
  <x:si>
    <x:t xml:space="preserve">23*27*13带隔板</x:t>
  </x:si>
  <x:si>
    <x:t xml:space="preserve">B06-1</x:t>
  </x:si>
  <x:si>
    <x:t xml:space="preserve">带隔板</x:t>
  </x:si>
  <x:si>
    <x:t xml:space="preserve">13.6</x:t>
  </x:si>
  <x:si>
    <x:t xml:space="preserve">36*27*14</x:t>
  </x:si>
  <x:si>
    <x:t xml:space="preserve">29.5*3.4*39</x:t>
  </x:si>
  <x:si>
    <x:t xml:space="preserve">767-1</x:t>
  </x:si>
  <x:si>
    <x:t xml:space="preserve">一层隔板</x:t>
  </x:si>
  <x:si>
    <x:t xml:space="preserve">无</x:t>
  </x:si>
  <x:si>
    <x:t xml:space="preserve">39*28*28.5</x:t>
  </x:si>
  <x:si>
    <x:t xml:space="preserve">767-2</x:t>
  </x:si>
  <x:si>
    <x:t xml:space="preserve">两层隔板</x:t>
  </x:si>
  <x:si>
    <x:t xml:space="preserve">36*27*17    手办盒</x:t>
  </x:si>
  <x:si>
    <x:t xml:space="preserve">透明带隔板</x:t>
  </x:si>
  <x:si>
    <x:t xml:space="preserve">36*27*17</x:t>
  </x:si>
  <x:si>
    <x:t xml:space="preserve">29.5*3.5*39</x:t>
  </x:si>
  <x:si>
    <x:t xml:space="preserve">30*30*8壁挂小号</x:t>
  </x:si>
  <x:si>
    <x:t xml:space="preserve">小号</x:t>
  </x:si>
  <x:si>
    <x:t xml:space="preserve">PET+PP+HIPS</x:t>
  </x:si>
  <x:si>
    <x:t xml:space="preserve">白色/黄色/紫色</x:t>
  </x:si>
  <x:si>
    <x:t xml:space="preserve">30*30*8</x:t>
  </x:si>
  <x:si>
    <x:t xml:space="preserve">30.6*3*31</x:t>
  </x:si>
  <x:si>
    <x:t xml:space="preserve">14</x:t>
  </x:si>
  <x:si>
    <x:t xml:space="preserve">30*40*10壁挂大号</x:t>
  </x:si>
  <x:si>
    <x:t xml:space="preserve">30*40*9.5</x:t>
  </x:si>
  <x:si>
    <x:t xml:space="preserve">30.6*3*41</x:t>
  </x:si>
  <x:si>
    <x:t xml:space="preserve">17</x:t>
  </x:si>
  <x:si>
    <x:t xml:space="preserve">旋转手办盒</x:t>
  </x:si>
  <x:si>
    <x:t xml:space="preserve">一层</x:t>
  </x:si>
  <x:si>
    <x:t xml:space="preserve">PP+PET</x:t>
  </x:si>
  <x:si>
    <x:t xml:space="preserve">白色/紫色</x:t>
  </x:si>
  <x:si>
    <x:t xml:space="preserve">22*22*18.5</x:t>
  </x:si>
  <x:si>
    <x:t xml:space="preserve">22.5*22.5*16.5</x:t>
  </x:si>
  <x:si>
    <x:t xml:space="preserve">二层</x:t>
  </x:si>
  <x:si>
    <x:t xml:space="preserve">22*22*34</x:t>
  </x:si>
  <x:si>
    <x:t xml:space="preserve">22.5*22.5*17.5</x:t>
  </x:si>
  <x:si>
    <x:t xml:space="preserve">三层</x:t>
  </x:si>
  <x:si>
    <x:t xml:space="preserve">22*22*49.5</x:t>
  </x:si>
  <x:si>
    <x:t xml:space="preserve">22.5*22.5*18.5</x:t>
  </x:si>
  <x:si>
    <x:t xml:space="preserve">积木手办盒</x:t>
  </x:si>
  <x:si>
    <x:t xml:space="preserve">PET +ABS</x:t>
  </x:si>
  <x:si>
    <x:t xml:space="preserve">奶油白</x:t>
  </x:si>
  <x:si>
    <x:t xml:space="preserve">32*18.5*22cm</x:t>
  </x:si>
  <x:si>
    <x:t xml:space="preserve">特大号</x:t>
  </x:si>
  <x:si>
    <x:t xml:space="preserve">39.5*20*20</x:t>
  </x:si>
</x:sst>
</file>

<file path=xl/styles.xml><?xml version="1.0" encoding="utf-8"?>
<x:styleSheet xmlns:x="http://schemas.openxmlformats.org/spreadsheetml/2006/main">
  <x:numFmts count="7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  <x:numFmt numFmtId="200" formatCode="¥#,##0.00"/>
    <x:numFmt numFmtId="201" formatCode="CA$#,##0.00"/>
    <x:numFmt numFmtId="202" formatCode="yyyy-mm-dd"/>
  </x:numFmts>
  <x:fonts count="27">
    <x:font>
      <x:sz val="11"/>
      <x:color theme="1"/>
      <x:name val="宋体"/>
    </x:font>
    <x:font>
      <x:b/>
      <x:sz val="22"/>
      <x:name val="宋体"/>
    </x:font>
    <x:font>
      <x:b/>
      <x:sz val="22"/>
      <x:color rgb="FFFF0000"/>
      <x:name val="宋体"/>
    </x:font>
    <x:font>
      <x:b/>
      <x:sz val="22"/>
      <x:color rgb="FF000000"/>
      <x:name val="宋体"/>
    </x:font>
    <x:font>
      <x:b/>
      <x:sz val="22"/>
      <x:color theme="1"/>
      <x:name val="宋体"/>
    </x:font>
    <x:font>
      <x:sz val="11"/>
      <x:color rgb="FF0000FF"/>
      <x:name val="宋体"/>
    </x:font>
    <x:font>
      <x:sz val="11"/>
      <x:color rgb="FF800080"/>
      <x:name val="宋体"/>
    </x:font>
    <x:font>
      <x:sz val="11"/>
      <x:color rgb="FFFF0000"/>
      <x:name val="宋体"/>
    </x:font>
    <x:font>
      <x:b/>
      <x:sz val="18"/>
      <x:color theme="3"/>
      <x:name val="宋体"/>
    </x:font>
    <x:font>
      <x:i/>
      <x:sz val="11"/>
      <x:color rgb="FF7F7F7F"/>
      <x:name val="宋体"/>
    </x:font>
    <x:font>
      <x:b/>
      <x:sz val="15"/>
      <x:color theme="3"/>
      <x:name val="宋体"/>
    </x:font>
    <x:font>
      <x:b/>
      <x:sz val="13"/>
      <x:color theme="3"/>
      <x:name val="宋体"/>
    </x:font>
    <x:font>
      <x:b/>
      <x:sz val="11"/>
      <x:color theme="3"/>
      <x:name val="宋体"/>
    </x:font>
    <x:font>
      <x:sz val="11"/>
      <x:color rgb="FF3F3F76"/>
      <x:name val="宋体"/>
    </x:font>
    <x:font>
      <x:b/>
      <x:sz val="11"/>
      <x:color rgb="FF3F3F3F"/>
      <x:name val="宋体"/>
    </x:font>
    <x:font>
      <x:b/>
      <x:sz val="11"/>
      <x:color rgb="FFFA7D00"/>
      <x:name val="宋体"/>
    </x:font>
    <x:font>
      <x:b/>
      <x:sz val="11"/>
      <x:color rgb="FFFFFFFF"/>
      <x:name val="宋体"/>
    </x:font>
    <x:font>
      <x:sz val="11"/>
      <x:color rgb="FFFA7D00"/>
      <x:name val="宋体"/>
    </x:font>
    <x:font>
      <x:b/>
      <x:sz val="11"/>
      <x:color theme="1"/>
      <x:name val="宋体"/>
    </x:font>
    <x:font>
      <x:sz val="11"/>
      <x:color rgb="FF006100"/>
      <x:name val="宋体"/>
    </x:font>
    <x:font>
      <x:sz val="11"/>
      <x:color rgb="FF9C0006"/>
      <x:name val="宋体"/>
    </x:font>
    <x:font>
      <x:sz val="11"/>
      <x:color rgb="FF9C6500"/>
      <x:name val="宋体"/>
    </x:font>
    <x:font>
      <x:sz val="11"/>
      <x:color theme="0"/>
      <x:name val="宋体"/>
    </x:font>
    <x:font>
      <x:sz val="11"/>
      <x:color theme="1"/>
      <x:name val="宋体"/>
    </x:font>
    <x:font>
      <x:b/>
      <x:sz val="11"/>
      <x:color rgb="FF000000"/>
      <x:name val="Arial"/>
    </x:font>
    <x:font>
      <x:b/>
      <x:sz val="10"/>
      <x:color rgb="FF000000"/>
      <x:name val="Arial"/>
    </x:font>
    <x:font>
      <x:sz val="10"/>
      <x:color rgb="FF000000"/>
      <x:name val="Arial"/>
    </x:font>
  </x:fonts>
  <x:fills count="36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theme="7"/>
      </x:patternFill>
    </x:fill>
    <x:fill>
      <x:patternFill patternType="solid">
        <x:fgColor theme="0"/>
      </x:patternFill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  <x:fill>
      <x:patternFill patternType="solid">
        <x:fgColor rgb="FF70AD47"/>
      </x:patternFill>
    </x:fill>
  </x:fills>
  <x:borders count="11">
    <x:border/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/>
      </x:bottom>
    </x:border>
    <x:border>
      <x:bottom style="medium">
        <x:color theme="4" tint="0.4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  <x:border>
      <x:left style="thin">
        <x:color rgb="FF808080"/>
      </x:left>
      <x:right style="thin">
        <x:color rgb="FF808080"/>
      </x:right>
      <x:top style="thin">
        <x:color rgb="FF808080"/>
      </x:top>
      <x:bottom style="thin">
        <x:color rgb="FF808080"/>
      </x:bottom>
    </x:border>
  </x:borders>
  <x:cellStyleXfs count="49">
    <x:xf numFmtId="0" fontId="0" fillId="0" borderId="0">
      <x:alignment vertical="center"/>
    </x:xf>
    <x:xf numFmtId="43" fontId="0" fillId="0" borderId="0" applyFont="0" applyFill="0" applyBorder="0" applyAlignment="0" applyProtection="0">
      <x:alignment vertical="center"/>
    </x:xf>
    <x:xf numFmtId="44" fontId="0" fillId="0" borderId="0" applyFont="0" applyFill="0" applyBorder="0" applyAlignment="0" applyProtection="0">
      <x:alignment vertical="center"/>
    </x:xf>
    <x:xf numFmtId="9" fontId="0" fillId="0" borderId="0" applyFont="0" applyFill="0" applyBorder="0" applyAlignment="0" applyProtection="0">
      <x:alignment vertical="center"/>
    </x:xf>
    <x:xf numFmtId="41" fontId="0" fillId="0" borderId="0" applyFont="0" applyFill="0" applyBorder="0" applyAlignment="0" applyProtection="0">
      <x:alignment vertical="center"/>
    </x:xf>
    <x:xf numFmtId="42" fontId="0" fillId="0" borderId="0" applyFont="0" applyFill="0" applyBorder="0" applyAlignment="0" applyProtection="0">
      <x:alignment vertical="center"/>
    </x:xf>
    <x:xf numFmtId="0" fontId="5" fillId="0" borderId="0" applyNumberFormat="0" applyFill="0" applyBorder="0" applyAlignment="0" applyProtection="0">
      <x:alignment vertical="center"/>
    </x:xf>
    <x:xf numFmtId="0" fontId="6" fillId="0" borderId="0" applyNumberFormat="0" applyFill="0" applyBorder="0" applyAlignment="0" applyProtection="0">
      <x:alignment vertical="center"/>
    </x:xf>
    <x:xf numFmtId="0" fontId="0" fillId="5" borderId="2" applyNumberFormat="0" applyFont="0" applyAlignment="0" applyProtection="0">
      <x:alignment vertical="center"/>
    </x:xf>
    <x:xf numFmtId="0" fontId="7" fillId="0" borderId="0" applyNumberFormat="0" applyFill="0" applyBorder="0" applyAlignment="0" applyProtection="0">
      <x:alignment vertical="center"/>
    </x:xf>
    <x:xf numFmtId="0" fontId="8" fillId="0" borderId="0" applyNumberFormat="0" applyFill="0" applyBorder="0" applyAlignment="0" applyProtection="0">
      <x:alignment vertical="center"/>
    </x:xf>
    <x:xf numFmtId="0" fontId="9" fillId="0" borderId="0" applyNumberFormat="0" applyFill="0" applyBorder="0" applyAlignment="0" applyProtection="0">
      <x:alignment vertical="center"/>
    </x:xf>
    <x:xf numFmtId="0" fontId="10" fillId="0" borderId="3" applyNumberFormat="0" applyFill="0" applyAlignment="0" applyProtection="0">
      <x:alignment vertical="center"/>
    </x:xf>
    <x:xf numFmtId="0" fontId="11" fillId="0" borderId="3" applyNumberFormat="0" applyFill="0" applyAlignment="0" applyProtection="0">
      <x:alignment vertical="center"/>
    </x:xf>
    <x:xf numFmtId="0" fontId="12" fillId="0" borderId="4" applyNumberFormat="0" applyFill="0" applyAlignment="0" applyProtection="0">
      <x:alignment vertical="center"/>
    </x:xf>
    <x:xf numFmtId="0" fontId="12" fillId="0" borderId="0" applyNumberFormat="0" applyFill="0" applyBorder="0" applyAlignment="0" applyProtection="0">
      <x:alignment vertical="center"/>
    </x:xf>
    <x:xf numFmtId="0" fontId="13" fillId="6" borderId="5" applyNumberFormat="0" applyAlignment="0" applyProtection="0">
      <x:alignment vertical="center"/>
    </x:xf>
    <x:xf numFmtId="0" fontId="14" fillId="7" borderId="6" applyNumberFormat="0" applyAlignment="0" applyProtection="0">
      <x:alignment vertical="center"/>
    </x:xf>
    <x:xf numFmtId="0" fontId="15" fillId="7" borderId="5" applyNumberFormat="0" applyAlignment="0" applyProtection="0">
      <x:alignment vertical="center"/>
    </x:xf>
    <x:xf numFmtId="0" fontId="16" fillId="8" borderId="7" applyNumberFormat="0" applyAlignment="0" applyProtection="0">
      <x:alignment vertical="center"/>
    </x:xf>
    <x:xf numFmtId="0" fontId="17" fillId="0" borderId="8" applyNumberFormat="0" applyFill="0" applyAlignment="0" applyProtection="0">
      <x:alignment vertical="center"/>
    </x:xf>
    <x:xf numFmtId="0" fontId="18" fillId="0" borderId="9" applyNumberFormat="0" applyFill="0" applyAlignment="0" applyProtection="0">
      <x:alignment vertical="center"/>
    </x:xf>
    <x:xf numFmtId="0" fontId="19" fillId="9" borderId="0" applyNumberFormat="0" applyBorder="0" applyAlignment="0" applyProtection="0">
      <x:alignment vertical="center"/>
    </x:xf>
    <x:xf numFmtId="0" fontId="20" fillId="10" borderId="0" applyNumberFormat="0" applyBorder="0" applyAlignment="0" applyProtection="0">
      <x:alignment vertical="center"/>
    </x:xf>
    <x:xf numFmtId="0" fontId="21" fillId="11" borderId="0" applyNumberFormat="0" applyBorder="0" applyAlignment="0" applyProtection="0">
      <x:alignment vertical="center"/>
    </x:xf>
    <x:xf numFmtId="0" fontId="22" fillId="12" borderId="0" applyNumberFormat="0" applyBorder="0" applyAlignment="0" applyProtection="0">
      <x:alignment vertical="center"/>
    </x:xf>
    <x:xf numFmtId="0" fontId="23" fillId="13" borderId="0" applyNumberFormat="0" applyBorder="0" applyAlignment="0" applyProtection="0">
      <x:alignment vertical="center"/>
    </x:xf>
    <x:xf numFmtId="0" fontId="23" fillId="14" borderId="0" applyNumberFormat="0" applyBorder="0" applyAlignment="0" applyProtection="0">
      <x:alignment vertical="center"/>
    </x:xf>
    <x:xf numFmtId="0" fontId="22" fillId="15" borderId="0" applyNumberFormat="0" applyBorder="0" applyAlignment="0" applyProtection="0">
      <x:alignment vertical="center"/>
    </x:xf>
    <x:xf numFmtId="0" fontId="22" fillId="16" borderId="0" applyNumberFormat="0" applyBorder="0" applyAlignment="0" applyProtection="0">
      <x:alignment vertical="center"/>
    </x:xf>
    <x:xf numFmtId="0" fontId="23" fillId="17" borderId="0" applyNumberFormat="0" applyBorder="0" applyAlignment="0" applyProtection="0">
      <x:alignment vertical="center"/>
    </x:xf>
    <x:xf numFmtId="0" fontId="23" fillId="18" borderId="0" applyNumberFormat="0" applyBorder="0" applyAlignment="0" applyProtection="0">
      <x:alignment vertical="center"/>
    </x:xf>
    <x:xf numFmtId="0" fontId="22" fillId="19" borderId="0" applyNumberFormat="0" applyBorder="0" applyAlignment="0" applyProtection="0">
      <x:alignment vertical="center"/>
    </x:xf>
    <x:xf numFmtId="0" fontId="22" fillId="20" borderId="0" applyNumberFormat="0" applyBorder="0" applyAlignment="0" applyProtection="0">
      <x:alignment vertical="center"/>
    </x:xf>
    <x:xf numFmtId="0" fontId="23" fillId="21" borderId="0" applyNumberFormat="0" applyBorder="0" applyAlignment="0" applyProtection="0">
      <x:alignment vertical="center"/>
    </x:xf>
    <x:xf numFmtId="0" fontId="23" fillId="22" borderId="0" applyNumberFormat="0" applyBorder="0" applyAlignment="0" applyProtection="0">
      <x:alignment vertical="center"/>
    </x:xf>
    <x:xf numFmtId="0" fontId="22" fillId="23" borderId="0" applyNumberFormat="0" applyBorder="0" applyAlignment="0" applyProtection="0">
      <x:alignment vertical="center"/>
    </x:xf>
    <x:xf numFmtId="0" fontId="22" fillId="3" borderId="0" applyNumberFormat="0" applyBorder="0" applyAlignment="0" applyProtection="0">
      <x:alignment vertical="center"/>
    </x:xf>
    <x:xf numFmtId="0" fontId="23" fillId="24" borderId="0" applyNumberFormat="0" applyBorder="0" applyAlignment="0" applyProtection="0">
      <x:alignment vertical="center"/>
    </x:xf>
    <x:xf numFmtId="0" fontId="23" fillId="25" borderId="0" applyNumberFormat="0" applyBorder="0" applyAlignment="0" applyProtection="0">
      <x:alignment vertical="center"/>
    </x:xf>
    <x:xf numFmtId="0" fontId="22" fillId="26" borderId="0" applyNumberFormat="0" applyBorder="0" applyAlignment="0" applyProtection="0">
      <x:alignment vertical="center"/>
    </x:xf>
    <x:xf numFmtId="0" fontId="22" fillId="27" borderId="0" applyNumberFormat="0" applyBorder="0" applyAlignment="0" applyProtection="0">
      <x:alignment vertical="center"/>
    </x:xf>
    <x:xf numFmtId="0" fontId="23" fillId="28" borderId="0" applyNumberFormat="0" applyBorder="0" applyAlignment="0" applyProtection="0">
      <x:alignment vertical="center"/>
    </x:xf>
    <x:xf numFmtId="0" fontId="23" fillId="29" borderId="0" applyNumberFormat="0" applyBorder="0" applyAlignment="0" applyProtection="0">
      <x:alignment vertical="center"/>
    </x:xf>
    <x:xf numFmtId="0" fontId="22" fillId="30" borderId="0" applyNumberFormat="0" applyBorder="0" applyAlignment="0" applyProtection="0">
      <x:alignment vertical="center"/>
    </x:xf>
    <x:xf numFmtId="0" fontId="22" fillId="31" borderId="0" applyNumberFormat="0" applyBorder="0" applyAlignment="0" applyProtection="0">
      <x:alignment vertical="center"/>
    </x:xf>
    <x:xf numFmtId="0" fontId="23" fillId="32" borderId="0" applyNumberFormat="0" applyBorder="0" applyAlignment="0" applyProtection="0">
      <x:alignment vertical="center"/>
    </x:xf>
    <x:xf numFmtId="0" fontId="23" fillId="33" borderId="0" applyNumberFormat="0" applyBorder="0" applyAlignment="0" applyProtection="0">
      <x:alignment vertical="center"/>
    </x:xf>
    <x:xf numFmtId="0" fontId="22" fillId="34" borderId="0" applyNumberFormat="0" applyBorder="0" applyAlignment="0" applyProtection="0">
      <x:alignment vertical="center"/>
    </x:xf>
  </x:cellStyleXfs>
  <x:cellXfs count="60">
    <x:xf numFmtId="0" fontId="0" fillId="0" borderId="0" xfId="0">
      <x:alignment vertical="center"/>
    </x:xf>
    <x:xf numFmtId="0" fontId="1" fillId="0" borderId="1" xfId="0" applyFont="1" applyFill="1" applyBorder="1" applyAlignment="1">
      <x:alignment horizontal="center" vertical="center" wrapText="1"/>
    </x:xf>
    <x:xf numFmtId="0" fontId="2" fillId="0" borderId="1" xfId="0" applyFont="1" applyFill="1" applyBorder="1" applyAlignment="1">
      <x:alignment horizontal="center" vertical="center" wrapText="1"/>
    </x:xf>
    <x:xf numFmtId="0" fontId="3" fillId="0" borderId="1" xfId="0" applyNumberFormat="1" applyFont="1" applyFill="1" applyBorder="1" applyAlignment="1">
      <x:alignment horizontal="center" vertical="center" wrapText="1"/>
    </x:xf>
    <x:xf numFmtId="0" fontId="2" fillId="2" borderId="1" xfId="0" applyFont="1" applyFill="1" applyBorder="1" applyAlignment="1">
      <x:alignment horizontal="center" vertical="center" wrapText="1"/>
    </x:xf>
    <x:xf numFmtId="49" fontId="1" fillId="0" borderId="1" xfId="0" applyNumberFormat="1" applyFont="1" applyFill="1" applyBorder="1" applyAlignment="1">
      <x:alignment horizontal="center" vertical="center" wrapText="1"/>
    </x:xf>
    <x:xf numFmtId="0" fontId="1" fillId="2" borderId="1" xfId="0" applyFont="1" applyFill="1" applyBorder="1" applyAlignment="1">
      <x:alignment horizontal="center" vertical="center" wrapText="1"/>
    </x:xf>
    <x:xf numFmtId="0" fontId="3" fillId="3" borderId="1" xfId="0" applyFont="1" applyFill="1" applyBorder="1" applyAlignment="1">
      <x:alignment horizontal="center" vertical="center" wrapText="1"/>
    </x:xf>
    <x:xf numFmtId="0" fontId="3" fillId="0" borderId="1" xfId="0" applyFont="1" applyFill="1" applyBorder="1" applyAlignment="1">
      <x:alignment horizontal="center" vertical="center" wrapText="1"/>
    </x:xf>
    <x:xf numFmtId="0" fontId="4" fillId="0" borderId="1" xfId="0" applyFont="1" applyFill="1" applyBorder="1" applyAlignment="1">
      <x:alignment horizontal="center" vertical="center" wrapText="1"/>
    </x:xf>
    <x:xf numFmtId="0" fontId="3" fillId="0" borderId="1" xfId="0" applyFont="1" applyFill="1" applyBorder="1" applyAlignment="1">
      <x:alignment horizontal="center" vertical="center" wrapText="1"/>
    </x:xf>
    <x:xf numFmtId="0" fontId="3" fillId="0" borderId="1" xfId="0" applyFont="1" applyFill="1" applyBorder="1" applyAlignment="1">
      <x:alignment horizontal="center" vertical="center"/>
    </x:xf>
    <x:xf numFmtId="49" fontId="3" fillId="0" borderId="1" xfId="0" applyNumberFormat="1" applyFont="1" applyFill="1" applyBorder="1" applyAlignment="1">
      <x:alignment horizontal="center" vertical="center" wrapText="1"/>
    </x:xf>
    <x:xf numFmtId="0" fontId="3" fillId="0" borderId="1" xfId="0" applyNumberFormat="1" applyFont="1" applyFill="1" applyBorder="1" applyAlignment="1">
      <x:alignment horizontal="center" vertical="center"/>
    </x:xf>
    <x:xf numFmtId="0" fontId="3" fillId="2" borderId="1" xfId="0" applyFont="1" applyFill="1" applyBorder="1" applyAlignment="1">
      <x:alignment horizontal="center" vertical="center" wrapText="1"/>
    </x:xf>
    <x:xf numFmtId="0" fontId="4" fillId="2" borderId="1" xfId="0" applyFont="1" applyFill="1" applyBorder="1" applyAlignment="1">
      <x:alignment horizontal="center" vertical="center" wrapText="1"/>
    </x:xf>
    <x:xf numFmtId="0" fontId="3" fillId="2" borderId="1" xfId="0" applyNumberFormat="1" applyFont="1" applyFill="1" applyBorder="1" applyAlignment="1">
      <x:alignment horizontal="center" vertical="center"/>
    </x:xf>
    <x:xf numFmtId="0" fontId="3" fillId="2" borderId="1" xfId="0" applyFont="1" applyFill="1" applyBorder="1" applyAlignment="1">
      <x:alignment horizontal="center" vertical="center"/>
    </x:xf>
    <x:xf numFmtId="0" fontId="3" fillId="2" borderId="1" xfId="0" applyFont="1" applyFill="1" applyBorder="1" applyAlignment="1">
      <x:alignment horizontal="center" vertical="center" wrapText="1"/>
    </x:xf>
    <x:xf numFmtId="49" fontId="3" fillId="3" borderId="1" xfId="0" applyNumberFormat="1" applyFont="1" applyFill="1" applyBorder="1" applyAlignment="1">
      <x:alignment horizontal="center" vertical="center" wrapText="1"/>
    </x:xf>
    <x:xf numFmtId="0" fontId="3" fillId="3" borderId="1" xfId="0" applyNumberFormat="1" applyFont="1" applyFill="1" applyBorder="1" applyAlignment="1">
      <x:alignment horizontal="center" vertical="center" wrapText="1"/>
    </x:xf>
    <x:xf numFmtId="0" fontId="3" fillId="0" borderId="1" xfId="0" applyNumberFormat="1" applyFont="1" applyFill="1" applyBorder="1" applyAlignment="1">
      <x:alignment horizontal="center" vertical="center" wrapText="1"/>
    </x:xf>
    <x:xf numFmtId="0" fontId="4" fillId="4" borderId="1" xfId="0" applyFont="1" applyFill="1" applyBorder="1" applyAlignment="1">
      <x:alignment horizontal="center" vertic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49" fontId="4" fillId="0" borderId="1" xfId="0" applyNumberFormat="1" applyFont="1" applyFill="1" applyBorder="1" applyAlignment="1">
      <x:alignment horizontal="center" vertical="center" wrapText="1"/>
    </x:xf>
    <x:xf numFmtId="49" fontId="3" fillId="0" borderId="1" xfId="0" applyNumberFormat="1" applyFont="1" applyFill="1" applyBorder="1" applyAlignment="1">
      <x:alignment horizontal="center" vertical="center" wrapText="1"/>
    </x:xf>
    <x:xf numFmtId="0" fontId="0" fillId="35" borderId="0" xfId="0" applyNumberFormat="1" applyFont="1" applyFill="1" applyBorder="1" applyAlignment="1">
      <x:alignment vertical="center"/>
    </x:xf>
    <x:xf numFmtId="0" fontId="24" fillId="35" borderId="0" xfId="0" applyNumberFormat="1" applyFont="1" applyFill="1" applyBorder="1" applyAlignment="1">
      <x:alignment vertical="center"/>
    </x:xf>
    <x:xf numFmtId="0" fontId="24" fillId="35" borderId="1" xfId="0" applyNumberFormat="1" applyFont="1" applyFill="1" applyBorder="1" applyAlignment="1">
      <x:alignment vertical="center"/>
    </x:xf>
    <x:xf numFmtId="0" fontId="24" fillId="35" borderId="1" xfId="0" applyNumberFormat="1" applyFont="1" applyFill="1" applyBorder="1" applyAlignment="1">
      <x:alignment vertical="center" wrapText="1"/>
    </x:xf>
    <x:xf numFmtId="0" fontId="24" fillId="35" borderId="1" xfId="0" applyNumberFormat="1" applyFont="1" applyFill="1" applyBorder="1" applyAlignment="1">
      <x:alignment horizontal="center" vertical="center" wrapText="1"/>
    </x:xf>
    <x:xf numFmtId="200" fontId="2" fillId="2" borderId="1" xfId="0" applyNumberFormat="1" applyFont="1" applyFill="1" applyBorder="1" applyAlignment="1">
      <x:alignment horizontal="center" vertical="center" wrapText="1"/>
    </x:xf>
    <x:xf numFmtId="200" fontId="1" fillId="2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 applyAlignment="1">
      <x:alignment vertical="center"/>
    </x:xf>
    <x:xf numFmtId="201" fontId="2" fillId="2" borderId="1" xfId="0" applyNumberFormat="1" applyFont="1" applyFill="1" applyBorder="1" applyAlignment="1">
      <x:alignment horizontal="center" vertical="center" wrapText="1"/>
    </x:xf>
    <x:xf numFmtId="201" fontId="1" fillId="2" borderId="1" xfId="0" applyNumberFormat="1" applyFont="1" applyFill="1" applyBorder="1" applyAlignment="1">
      <x:alignment horizontal="center" vertical="center" wrapText="1"/>
    </x:xf>
    <x:xf numFmtId="201" fontId="0" fillId="0" borderId="0" xfId="0" applyNumberFormat="1" applyFont="1" applyFill="1" applyBorder="1" applyAlignment="1">
      <x:alignment vertical="center"/>
    </x:xf>
    <x:xf numFmtId="202" fontId="2" fillId="2" borderId="1" xfId="0" applyNumberFormat="1" applyFont="1" applyFill="1" applyBorder="1" applyAlignment="1">
      <x:alignment horizontal="center" vertical="center" wrapText="1"/>
    </x:xf>
    <x:xf numFmtId="202" fontId="1" fillId="2" borderId="1" xfId="0" applyNumberFormat="1" applyFont="1" applyFill="1" applyBorder="1" applyAlignment="1">
      <x:alignment horizontal="center" vertical="center" wrapText="1"/>
    </x:xf>
    <x:xf numFmtId="202" fontId="0" fillId="0" borderId="0" xfId="0" applyNumberFormat="1" applyFont="1" applyFill="1" applyBorder="1" applyAlignment="1">
      <x:alignment vertical="center"/>
    </x:xf>
    <x:xf numFmtId="200" fontId="25" fillId="2" borderId="1" xfId="0" applyNumberFormat="1" applyFont="1" applyFill="1" applyBorder="1" applyAlignment="1">
      <x:alignment horizontal="center" vertical="center" wrapText="1"/>
    </x:xf>
    <x:xf numFmtId="201" fontId="25" fillId="2" borderId="1" xfId="0" applyNumberFormat="1" applyFont="1" applyFill="1" applyBorder="1" applyAlignment="1">
      <x:alignment horizontal="center" vertical="center" wrapText="1"/>
    </x:xf>
    <x:xf numFmtId="0" fontId="25" fillId="2" borderId="1" xfId="0" applyNumberFormat="1" applyFont="1" applyFill="1" applyBorder="1" applyAlignment="1">
      <x:alignment horizontal="center" vertical="center" wrapText="1"/>
    </x:xf>
    <x:xf numFmtId="202" fontId="25" fillId="2" borderId="1" xfId="0" applyNumberFormat="1" applyFont="1" applyFill="1" applyBorder="1" applyAlignment="1">
      <x:alignment horizontal="center" vertical="center" wrapText="1"/>
    </x:xf>
    <x:xf numFmtId="200" fontId="26" fillId="0" borderId="0" xfId="0" applyNumberFormat="1" applyFont="1" applyFill="1" applyBorder="1" applyAlignment="1">
      <x:alignment vertical="center"/>
    </x:xf>
    <x:xf numFmtId="201" fontId="26" fillId="0" borderId="0" xfId="0" applyNumberFormat="1" applyFont="1" applyFill="1" applyBorder="1" applyAlignment="1">
      <x:alignment vertical="center"/>
    </x:xf>
    <x:xf numFmtId="0" fontId="26" fillId="0" borderId="0" xfId="0" applyNumberFormat="1" applyFont="1" applyFill="1" applyBorder="1" applyAlignment="1">
      <x:alignment vertical="center"/>
    </x:xf>
    <x:xf numFmtId="202" fontId="26" fillId="0" borderId="0" xfId="0" applyNumberFormat="1" applyFont="1" applyFill="1" applyBorder="1" applyAlignment="1">
      <x:alignment vertical="center"/>
    </x:xf>
    <x:xf numFmtId="200" fontId="25" fillId="2" borderId="10" xfId="0" applyNumberFormat="1" applyFont="1" applyFill="1" applyBorder="1" applyAlignment="1">
      <x:alignment horizontal="center" vertical="center" wrapText="1"/>
    </x:xf>
    <x:xf numFmtId="201" fontId="25" fillId="2" borderId="10" xfId="0" applyNumberFormat="1" applyFont="1" applyFill="1" applyBorder="1" applyAlignment="1">
      <x:alignment horizontal="center" vertical="center" wrapText="1"/>
    </x:xf>
    <x:xf numFmtId="0" fontId="25" fillId="2" borderId="10" xfId="0" applyNumberFormat="1" applyFont="1" applyFill="1" applyBorder="1" applyAlignment="1">
      <x:alignment horizontal="center" vertical="center" wrapText="1"/>
    </x:xf>
    <x:xf numFmtId="202" fontId="25" fillId="2" borderId="10" xfId="0" applyNumberFormat="1" applyFont="1" applyFill="1" applyBorder="1" applyAlignment="1">
      <x:alignment horizontal="center" vertical="center" wrapText="1"/>
    </x:xf>
    <x:xf numFmtId="200" fontId="26" fillId="0" borderId="10" xfId="0" applyNumberFormat="1" applyFont="1" applyFill="1" applyBorder="1" applyAlignment="1">
      <x:alignment vertical="center"/>
    </x:xf>
    <x:xf numFmtId="201" fontId="26" fillId="0" borderId="10" xfId="0" applyNumberFormat="1" applyFont="1" applyFill="1" applyBorder="1" applyAlignment="1">
      <x:alignment vertical="center"/>
    </x:xf>
    <x:xf numFmtId="0" fontId="26" fillId="0" borderId="10" xfId="0" applyNumberFormat="1" applyFont="1" applyFill="1" applyBorder="1" applyAlignment="1">
      <x:alignment vertical="center"/>
    </x:xf>
    <x:xf numFmtId="202" fontId="26" fillId="0" borderId="10" xfId="0" applyNumberFormat="1" applyFont="1" applyFill="1" applyBorder="1" applyAlignment="1">
      <x:alignment vertical="center"/>
    </x:xf>
    <x:xf numFmtId="200" fontId="26" fillId="0" borderId="10" xfId="0" applyNumberFormat="1" applyFont="1" applyFill="1" applyBorder="1" applyAlignment="1">
      <x:alignment horizontal="center" vertical="center"/>
    </x:xf>
    <x:xf numFmtId="201" fontId="26" fillId="0" borderId="10" xfId="0" applyNumberFormat="1" applyFont="1" applyFill="1" applyBorder="1" applyAlignment="1">
      <x:alignment horizontal="center" vertical="center"/>
    </x:xf>
    <x:xf numFmtId="0" fontId="26" fillId="0" borderId="10" xfId="0" applyNumberFormat="1" applyFont="1" applyFill="1" applyBorder="1" applyAlignment="1">
      <x:alignment horizontal="center" vertical="center"/>
    </x:xf>
    <x:xf numFmtId="0" fontId="26" fillId="0" borderId="10" xfId="0" applyNumberFormat="1" applyFont="1" applyFill="1" applyBorder="1" applyAlignment="1">
      <x:alignment vertical="center" wrapText="1"/>
    </x:xf>
  </x:cellXfs>
  <x:cellStyles count="49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</x:cellStyles>
  <x:dxfs count="17"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</x:dxf>
    <x:dxf>
      <x:font>
        <x:b/>
        <x:color theme="1"/>
      </x:font>
    </x:dxf>
    <x:dxf>
      <x:font>
        <x:b/>
        <x:color theme="1"/>
      </x:font>
      <x:border>
        <x:top style="double">
          <x:color theme="4"/>
        </x:top>
      </x:border>
    </x:dxf>
    <x:dxf>
      <x:font>
        <x:b/>
        <x:color theme="0"/>
      </x:font>
      <x:fill>
        <x:patternFill>
          <x:bgColor theme="4"/>
        </x:patternFill>
      </x:fill>
    </x:dxf>
    <x:dxf>
      <x:font>
        <x:color theme="1"/>
      </x:font>
      <x:border>
        <x:left style="thin">
          <x:color theme="4"/>
        </x:left>
        <x:right style="thin">
          <x:color theme="4"/>
        </x:right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b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color theme="1"/>
      </x:font>
    </x:dxf>
    <x:dxf>
      <x:font>
        <x:color theme="1"/>
      </x:font>
      <x:border>
        <x:bottom style="thin">
          <x:color theme="4" tint="0.39998"/>
        </x:bottom>
      </x:border>
    </x:dxf>
    <x:dxf>
      <x:font>
        <x:b/>
        <x:color theme="1"/>
      </x:font>
    </x:dxf>
    <x:dxf>
      <x:font>
        <x:b/>
        <x:color theme="1"/>
      </x:font>
      <x:border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  <x:fill>
        <x:patternFill>
          <x:bgColor theme="4" tint="0.79998"/>
        </x:patternFill>
      </x:fill>
      <x:border>
        <x:top style="thin">
          <x:color theme="4" tint="0.39998"/>
        </x:top>
        <x:bottom style="thin">
          <x:color theme="4" tint="0.39998"/>
        </x:bottom>
      </x:border>
    </x:dxf>
    <x:dxf>
      <x:font>
        <x:b/>
        <x:color theme="1"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867d312c1484d1e" /><Relationship Type="http://schemas.openxmlformats.org/officeDocument/2006/relationships/theme" Target="/xl/theme/theme1.xml" Id="R754dc020025f4528" /><Relationship Type="http://schemas.openxmlformats.org/officeDocument/2006/relationships/sharedStrings" Target="/xl/sharedStrings.xml" Id="Rae844578623c413a" /><Relationship Type="http://schemas.openxmlformats.org/officeDocument/2006/relationships/worksheet" Target="/xl/worksheets/sheet1.xml" Id="R1b015f6e1df94743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/>
            </a:gs>
            <a:gs pos="100000">
              <a:schemeClr val="phClr"/>
            </a:gs>
          </a:gsLst>
          <a:lin ang="2700000" scaled="0"/>
        </a:gradFill>
      </a:fillStyleLst>
      <a:lnStyleLst>
        <a:ln w="1270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2700">
          <a:gradFill>
            <a:gsLst>
              <a:gs pos="0">
                <a:schemeClr val="phClr"/>
              </a:gs>
              <a:gs pos="100000">
                <a:schemeClr val="phClr"/>
              </a:gs>
            </a:gsLst>
            <a:lin ang="2700000" scaled="1"/>
          </a:gradFill>
          <a:prstDash val="solid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9" defaultRowHeight="121.5"/>
  <x:cols>
    <x:col min="1" max="1" width="26.953702926635742" style="1" customWidth="1"/>
    <x:col min="2" max="2" width="30.629629135131836" style="1" customWidth="1"/>
    <x:col min="3" max="3" width="30" style="1" customWidth="1"/>
    <x:col min="4" max="5" width="20.629629135131836" style="1" customWidth="1"/>
    <x:col min="6" max="6" width="30.629629135131836" style="1" customWidth="1"/>
    <x:col min="7" max="7" width="36.25" style="1" customWidth="1"/>
    <x:col min="8" max="8" width="42.5" style="1" customWidth="1"/>
    <x:col min="9" max="12" width="20.629629135131836" style="1" customWidth="1"/>
    <x:col min="13" max="13" width="25.629629135131836" style="1" customWidth="1"/>
    <x:col min="14" max="14" width="20.629629135131836" style="1" customWidth="1"/>
    <x:col min="15" max="15" width="20.629629135131836" style="5" customWidth="1"/>
    <x:col min="16" max="16" width="20.629629135131836" style="1" customWidth="1"/>
    <x:col min="17" max="30" width="9" style="6" customWidth="0"/>
    <x:col min="31" max="16384" width="9" style="1" customWidth="0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  <x:col min="23" max="23" width="42" hidden="0" customWidth="1"/>
    <x:col min="24" max="24" width="18" hidden="0" customWidth="1"/>
  </x:cols>
  <x:sheetData>
    <x:row r="1" s="1" customFormat="1" ht="42" customHeight="1">
      <x:c r="A1" s="7" t="s">
        <x:v>0</x:v>
      </x:c>
      <x:c r="B1" s="7" t="s">
        <x:v>1</x:v>
      </x:c>
      <x:c r="C1" s="7" t="s">
        <x:v>2</x:v>
      </x:c>
      <x:c r="D1" s="7" t="s">
        <x:v>3</x:v>
      </x:c>
      <x:c r="E1" s="7" t="s">
        <x:v>4</x:v>
      </x:c>
      <x:c r="F1" s="7" t="s">
        <x:v>5</x:v>
      </x:c>
      <x:c r="G1" s="7" t="s">
        <x:v>6</x:v>
      </x:c>
      <x:c r="H1" s="7" t="s">
        <x:v>7</x:v>
      </x:c>
      <x:c r="I1" s="7" t="s">
        <x:v>8</x:v>
      </x:c>
      <x:c r="J1" s="7" t="s">
        <x:v>9</x:v>
      </x:c>
      <x:c r="K1" s="7" t="s">
        <x:v>10</x:v>
      </x:c>
      <x:c r="L1" s="7" t="s">
        <x:v>11</x:v>
      </x:c>
      <x:c r="M1" s="19" t="s">
        <x:v>12</x:v>
      </x:c>
      <x:c r="N1" s="7" t="s">
        <x:v>13</x:v>
      </x:c>
      <x:c r="O1" s="19" t="s">
        <x:v>14</x:v>
      </x:c>
      <x:c r="P1" s="20" t="s">
        <x:v>15</x:v>
      </x:c>
      <x:c r="Q1" s="30" t="str">
        <x:v>10件批发价（CNY）</x:v>
      </x:c>
      <x:c r="R1" s="30" t="str">
        <x:v>10件代发运费（CNY）</x:v>
      </x:c>
      <x:c r="S1" s="30" t="str">
        <x:v>10件合计（CNY）</x:v>
      </x:c>
      <x:c r="T1" s="30" t="str">
        <x:v>Amazon类比价/件（CAD）</x:v>
      </x:c>
      <x:c r="U1" s="30" t="str">
        <x:v>Amazon类比价/10件（CAD）</x:v>
      </x:c>
      <x:c r="V1" s="30" t="str">
        <x:v>Amazon ASIN</x:v>
      </x:c>
      <x:c r="W1" s="30" t="str">
        <x:v>Amazon来源</x:v>
      </x:c>
      <x:c r="X1" s="30" t="str">
        <x:v>查询日期</x:v>
      </x:c>
    </x:row>
    <x:row r="2" s="2" customFormat="1" ht="120" customHeight="1">
      <x:c r="A2" s="8" t="s">
        <x:v>16</x:v>
      </x:c>
      <x:c r="B2" s="9" t="e">
        <x:f>_xlfn.DISPIMG("ID_DCCE7D95886F418092CBC634A0AFB5AD",1)</x:f>
        <x:v>#NAME?</x:v>
      </x:c>
      <x:c r="C2" s="10" t="s">
        <x:v>17</x:v>
      </x:c>
      <x:c r="D2" s="8" t="s">
        <x:v>18</x:v>
      </x:c>
      <x:c r="E2" s="8" t="s">
        <x:v>19</x:v>
      </x:c>
      <x:c r="F2" s="8" t="s">
        <x:v>20</x:v>
      </x:c>
      <x:c r="G2" s="8" t="s">
        <x:v>21</x:v>
      </x:c>
      <x:c r="H2" s="8" t="s">
        <x:v>22</x:v>
      </x:c>
      <x:c r="I2" s="8">
        <x:v>1140</x:v>
      </x:c>
      <x:c r="J2" s="8">
        <x:v>1300</x:v>
      </x:c>
      <x:c r="K2" s="10" t="s">
        <x:v>23</x:v>
      </x:c>
      <x:c r="L2" s="8">
        <x:v>1</x:v>
      </x:c>
      <x:c r="M2" s="8" t="s">
        <x:v>22</x:v>
      </x:c>
      <x:c r="N2" s="8">
        <x:v>1.3</x:v>
      </x:c>
      <x:c r="O2" s="21">
        <x:v>20.5</x:v>
      </x:c>
      <x:c r="P2" s="22" t="n">
        <x:f>_xlfn.IFS(J2&lt;480,"3",J2&lt;980,"3.5",J2&lt;1480,"4",J2&lt;1980,"4.5",J2&lt;2950,"5.5")</x:f>
        <x:v>4</x:v>
      </x:c>
      <x:c r="Q2" s="48" t="n">
        <x:f>IF(O2="","",O2*10)</x:f>
        <x:v>205</x:v>
      </x:c>
      <x:c r="R2" s="48" t="n">
        <x:f>IF(P2="","",P2*10)</x:f>
        <x:v>40</x:v>
      </x:c>
      <x:c r="S2" s="48" t="n">
        <x:f>IF(OR(Q2="",R2=""),"",Q2+R2)</x:f>
        <x:v>245</x:v>
      </x:c>
      <x:c r="T2" s="49" t="n">
        <x:v>24.29</x:v>
      </x:c>
      <x:c r="U2" s="49" t="n">
        <x:f>ROUND(T2*10,2)</x:f>
        <x:v>242.9</x:v>
      </x:c>
      <x:c r="V2" s="50" t="str">
        <x:v>B0DW8L4YLM</x:v>
      </x:c>
      <x:c r="W2" s="50" t="str">
        <x:v>https://www.amazon.ca/dp/B0DW8L4YLM</x:v>
      </x:c>
      <x:c r="X2" s="51" t="n">
        <x:v>46273</x:v>
      </x:c>
      <x:c r="Y2" s="4"/>
      <x:c r="Z2" s="4"/>
      <x:c r="AA2" s="4"/>
      <x:c r="AB2" s="4"/>
      <x:c r="AC2" s="4"/>
      <x:c r="AD2" s="4"/>
    </x:row>
    <x:row r="3" s="2" customFormat="1" ht="120" customHeight="1">
      <x:c r="A3" s="8" t="s">
        <x:v>24</x:v>
      </x:c>
      <x:c r="B3" s="9" t="e">
        <x:f>_xlfn.DISPIMG("ID_15DA2BBBCFF74A5B8C8764452474267E",1)</x:f>
        <x:v>#NAME?</x:v>
      </x:c>
      <x:c r="C3" s="10" t="s">
        <x:v>25</x:v>
      </x:c>
      <x:c r="D3" s="8" t="s">
        <x:v>18</x:v>
      </x:c>
      <x:c r="E3" s="8" t="s">
        <x:v>19</x:v>
      </x:c>
      <x:c r="F3" s="8" t="s">
        <x:v>20</x:v>
      </x:c>
      <x:c r="G3" s="8" t="s">
        <x:v>26</x:v>
      </x:c>
      <x:c r="H3" s="8" t="s">
        <x:v>27</x:v>
      </x:c>
      <x:c r="I3" s="8">
        <x:v>700</x:v>
      </x:c>
      <x:c r="J3" s="8">
        <x:v>800</x:v>
      </x:c>
      <x:c r="K3" s="10" t="s">
        <x:v>23</x:v>
      </x:c>
      <x:c r="L3" s="8">
        <x:v>1</x:v>
      </x:c>
      <x:c r="M3" s="8" t="s">
        <x:v>27</x:v>
      </x:c>
      <x:c r="N3" s="8">
        <x:v>0.8</x:v>
      </x:c>
      <x:c r="O3" s="23">
        <x:v>14.5</x:v>
      </x:c>
      <x:c r="P3" s="9">
        <x:v>3.5</x:v>
      </x:c>
      <x:c r="Q3" s="48" t="n">
        <x:f>IF(O3="","",O3*10)</x:f>
        <x:v>145</x:v>
      </x:c>
      <x:c r="R3" s="48" t="n">
        <x:f>IF(P3="","",P3*10)</x:f>
        <x:v>35</x:v>
      </x:c>
      <x:c r="S3" s="48" t="n">
        <x:f>IF(OR(Q3="",R3=""),"",Q3+R3)</x:f>
        <x:v>180</x:v>
      </x:c>
      <x:c r="T3" s="49" t="n">
        <x:v>24.29</x:v>
      </x:c>
      <x:c r="U3" s="49" t="n">
        <x:f>ROUND(T3*10,2)</x:f>
        <x:v>242.9</x:v>
      </x:c>
      <x:c r="V3" s="50" t="str">
        <x:v>B0DW8L4YLM</x:v>
      </x:c>
      <x:c r="W3" s="50" t="str">
        <x:v>https://www.amazon.ca/dp/B0DW8L4YLM</x:v>
      </x:c>
      <x:c r="X3" s="51" t="n">
        <x:v>46273</x:v>
      </x:c>
      <x:c r="Y3" s="4"/>
      <x:c r="Z3" s="4"/>
      <x:c r="AA3" s="4"/>
      <x:c r="AB3" s="4"/>
      <x:c r="AC3" s="4"/>
      <x:c r="AD3" s="4"/>
    </x:row>
    <x:row r="4" s="2" customFormat="1" customHeight="1">
      <x:c r="A4" s="11" t="s">
        <x:v>28</x:v>
      </x:c>
      <x:c r="B4" s="9" t="e">
        <x:f>_xlfn.DISPIMG("ID_4CE7FED49F844D5CB6170EBEB9E46F51",1)</x:f>
        <x:v>#NAME?</x:v>
      </x:c>
      <x:c r="C4" s="11">
        <x:v>908</x:v>
      </x:c>
      <x:c r="D4" s="11" t="s">
        <x:v>29</x:v>
      </x:c>
      <x:c r="E4" s="11" t="s">
        <x:v>30</x:v>
      </x:c>
      <x:c r="F4" s="11" t="s">
        <x:v>31</x:v>
      </x:c>
      <x:c r="G4" s="11" t="s">
        <x:v>32</x:v>
      </x:c>
      <x:c r="H4" s="11" t="s">
        <x:v>33</x:v>
      </x:c>
      <x:c r="I4" s="11">
        <x:v>845</x:v>
      </x:c>
      <x:c r="J4" s="11">
        <x:v>1039</x:v>
      </x:c>
      <x:c r="K4" s="10" t="s">
        <x:v>23</x:v>
      </x:c>
      <x:c r="L4" s="8">
        <x:v>1</x:v>
      </x:c>
      <x:c r="M4" s="11" t="s">
        <x:v>33</x:v>
      </x:c>
      <x:c r="N4" s="8" t="n">
        <x:f>J4*L4/1000</x:f>
        <x:v>1.039</x:v>
      </x:c>
      <x:c r="O4" s="21">
        <x:v>22</x:v>
      </x:c>
      <x:c r="P4" s="10">
        <x:v>4</x:v>
      </x:c>
      <x:c r="Q4" s="48" t="n">
        <x:f>IF(O4="","",O4*10)</x:f>
        <x:v>220</x:v>
      </x:c>
      <x:c r="R4" s="48" t="n">
        <x:f>IF(P4="","",P4*10)</x:f>
        <x:v>40</x:v>
      </x:c>
      <x:c r="S4" s="48" t="n">
        <x:f>IF(OR(Q4="",R4=""),"",Q4+R4)</x:f>
        <x:v>260</x:v>
      </x:c>
      <x:c r="T4" s="49" t="n">
        <x:v>24.29</x:v>
      </x:c>
      <x:c r="U4" s="49" t="n">
        <x:f>ROUND(T4*10,2)</x:f>
        <x:v>242.9</x:v>
      </x:c>
      <x:c r="V4" s="50" t="str">
        <x:v>B0DW8L4YLM</x:v>
      </x:c>
      <x:c r="W4" s="50" t="str">
        <x:v>https://www.amazon.ca/dp/B0DW8L4YLM</x:v>
      </x:c>
      <x:c r="X4" s="51" t="n">
        <x:v>46273</x:v>
      </x:c>
      <x:c r="Y4" s="4"/>
      <x:c r="Z4" s="4"/>
      <x:c r="AA4" s="4"/>
      <x:c r="AB4" s="4"/>
      <x:c r="AC4" s="4"/>
      <x:c r="AD4" s="4"/>
    </x:row>
    <x:row r="5" s="2" customFormat="1" customHeight="1">
      <x:c r="A5" s="11" t="s">
        <x:v>28</x:v>
      </x:c>
      <x:c r="B5" s="9" t="e">
        <x:f>_xlfn.DISPIMG("ID_D6C278B969B14F3C8BF087A9E5118A24",1)</x:f>
        <x:v>#NAME?</x:v>
      </x:c>
      <x:c r="C5" s="11">
        <x:v>908</x:v>
      </x:c>
      <x:c r="D5" s="11" t="s">
        <x:v>34</x:v>
      </x:c>
      <x:c r="E5" s="11" t="s">
        <x:v>30</x:v>
      </x:c>
      <x:c r="F5" s="11" t="s">
        <x:v>31</x:v>
      </x:c>
      <x:c r="G5" s="11" t="s">
        <x:v>35</x:v>
      </x:c>
      <x:c r="H5" s="11" t="s">
        <x:v>36</x:v>
      </x:c>
      <x:c r="I5" s="11">
        <x:v>911</x:v>
      </x:c>
      <x:c r="J5" s="11">
        <x:v>1110</x:v>
      </x:c>
      <x:c r="K5" s="10" t="s">
        <x:v>23</x:v>
      </x:c>
      <x:c r="L5" s="8">
        <x:v>1</x:v>
      </x:c>
      <x:c r="M5" s="11" t="s">
        <x:v>36</x:v>
      </x:c>
      <x:c r="N5" s="8" t="n">
        <x:f>J5*L5/1000</x:f>
        <x:v>1.11</x:v>
      </x:c>
      <x:c r="O5" s="21">
        <x:v>24</x:v>
      </x:c>
      <x:c r="P5" s="10">
        <x:v>4</x:v>
      </x:c>
      <x:c r="Q5" s="48" t="n">
        <x:f>IF(O5="","",O5*10)</x:f>
        <x:v>240</x:v>
      </x:c>
      <x:c r="R5" s="48" t="n">
        <x:f>IF(P5="","",P5*10)</x:f>
        <x:v>40</x:v>
      </x:c>
      <x:c r="S5" s="48" t="n">
        <x:f>IF(OR(Q5="",R5=""),"",Q5+R5)</x:f>
        <x:v>280</x:v>
      </x:c>
      <x:c r="T5" s="49" t="n">
        <x:v>24.29</x:v>
      </x:c>
      <x:c r="U5" s="49" t="n">
        <x:f>ROUND(T5*10,2)</x:f>
        <x:v>242.9</x:v>
      </x:c>
      <x:c r="V5" s="50" t="str">
        <x:v>B0DW8L4YLM</x:v>
      </x:c>
      <x:c r="W5" s="50" t="str">
        <x:v>https://www.amazon.ca/dp/B0DW8L4YLM</x:v>
      </x:c>
      <x:c r="X5" s="51" t="n">
        <x:v>46273</x:v>
      </x:c>
      <x:c r="Y5" s="4"/>
      <x:c r="Z5" s="4"/>
      <x:c r="AA5" s="4"/>
      <x:c r="AB5" s="4"/>
      <x:c r="AC5" s="4"/>
      <x:c r="AD5" s="4"/>
    </x:row>
    <x:row r="6" s="2" customFormat="1" customHeight="1">
      <x:c r="A6" s="8" t="s">
        <x:v>37</x:v>
      </x:c>
      <x:c r="B6" s="9" t="e">
        <x:f>_xlfn.DISPIMG("ID_C569CDB436B4429AA7CDB3231A152615",1)</x:f>
        <x:v>#NAME?</x:v>
      </x:c>
      <x:c r="C6" s="10">
        <x:v>777</x:v>
      </x:c>
      <x:c r="D6" s="8" t="s">
        <x:v>38</x:v>
      </x:c>
      <x:c r="E6" s="8" t="s">
        <x:v>19</x:v>
      </x:c>
      <x:c r="F6" s="8" t="s">
        <x:v>39</x:v>
      </x:c>
      <x:c r="G6" s="8" t="s">
        <x:v>40</x:v>
      </x:c>
      <x:c r="H6" s="8" t="s">
        <x:v>41</x:v>
      </x:c>
      <x:c r="I6" s="8">
        <x:v>800</x:v>
      </x:c>
      <x:c r="J6" s="8">
        <x:v>950</x:v>
      </x:c>
      <x:c r="K6" s="10" t="s">
        <x:v>23</x:v>
      </x:c>
      <x:c r="L6" s="8">
        <x:v>1</x:v>
      </x:c>
      <x:c r="M6" s="8" t="s">
        <x:v>41</x:v>
      </x:c>
      <x:c r="N6" s="8">
        <x:v>0.95</x:v>
      </x:c>
      <x:c r="O6" s="12" t="s">
        <x:v>42</x:v>
      </x:c>
      <x:c r="P6" s="9">
        <x:v>3.5</x:v>
      </x:c>
      <x:c r="Q6" s="48" t="n">
        <x:f>IF(O6="","",O6*10)</x:f>
        <x:v>155</x:v>
      </x:c>
      <x:c r="R6" s="48" t="n">
        <x:f>IF(P6="","",P6*10)</x:f>
        <x:v>35</x:v>
      </x:c>
      <x:c r="S6" s="48" t="n">
        <x:f>IF(OR(Q6="",R6=""),"",Q6+R6)</x:f>
        <x:v>190</x:v>
      </x:c>
      <x:c r="T6" s="49" t="n">
        <x:v>24.29</x:v>
      </x:c>
      <x:c r="U6" s="49" t="n">
        <x:f>ROUND(T6*10,2)</x:f>
        <x:v>242.9</x:v>
      </x:c>
      <x:c r="V6" s="50" t="str">
        <x:v>B0DW8L4YLM</x:v>
      </x:c>
      <x:c r="W6" s="50" t="str">
        <x:v>https://www.amazon.ca/dp/B0DW8L4YLM</x:v>
      </x:c>
      <x:c r="X6" s="51" t="n">
        <x:v>46273</x:v>
      </x:c>
      <x:c r="Y6" s="4"/>
      <x:c r="Z6" s="4"/>
      <x:c r="AA6" s="4"/>
      <x:c r="AB6" s="4"/>
      <x:c r="AC6" s="4"/>
      <x:c r="AD6" s="4"/>
    </x:row>
    <x:row r="7" s="2" customFormat="1" customHeight="1">
      <x:c r="A7" s="12" t="s">
        <x:v>43</x:v>
      </x:c>
      <x:c r="B7" s="9" t="e">
        <x:f>_xlfn.DISPIMG("ID_DC65A083F89745D2AD4288782BFAC0C2",1)</x:f>
        <x:v>#NAME?</x:v>
      </x:c>
      <x:c r="C7" s="10" t="s">
        <x:v>44</x:v>
      </x:c>
      <x:c r="D7" s="8" t="s">
        <x:v>45</x:v>
      </x:c>
      <x:c r="E7" s="8" t="s">
        <x:v>46</x:v>
      </x:c>
      <x:c r="F7" s="10" t="s">
        <x:v>47</x:v>
      </x:c>
      <x:c r="G7" s="9" t="s">
        <x:v>48</x:v>
      </x:c>
      <x:c r="H7" s="8" t="s">
        <x:v>22</x:v>
      </x:c>
      <x:c r="I7" s="9">
        <x:v>1140</x:v>
      </x:c>
      <x:c r="J7" s="9">
        <x:v>1300</x:v>
      </x:c>
      <x:c r="K7" s="10" t="s">
        <x:v>23</x:v>
      </x:c>
      <x:c r="L7" s="8">
        <x:v>1</x:v>
      </x:c>
      <x:c r="M7" s="12" t="s">
        <x:v>49</x:v>
      </x:c>
      <x:c r="N7" s="9" t="n">
        <x:f>(J7*L7+300)/1000</x:f>
        <x:v>1.6</x:v>
      </x:c>
      <x:c r="O7" s="24" t="s">
        <x:v>50</x:v>
      </x:c>
      <x:c r="P7" s="9" t="n">
        <x:f>_xlfn.IFS(J7&lt;480,"3",J7&lt;980,"3",J7&lt;1480,"3.5",J7&lt;1980,"4",J7&lt;1980,"4.5",J7&lt;2950,"5")</x:f>
        <x:v>3.5</x:v>
      </x:c>
      <x:c r="Q7" s="48" t="n">
        <x:f>IF(O7="","",O7*10)</x:f>
        <x:v>273</x:v>
      </x:c>
      <x:c r="R7" s="48" t="n">
        <x:f>IF(P7="","",P7*10)</x:f>
        <x:v>35</x:v>
      </x:c>
      <x:c r="S7" s="48" t="n">
        <x:f>IF(OR(Q7="",R7=""),"",Q7+R7)</x:f>
        <x:v>308</x:v>
      </x:c>
      <x:c r="T7" s="49" t="n">
        <x:v>24.29</x:v>
      </x:c>
      <x:c r="U7" s="49" t="n">
        <x:f>ROUND(T7*10,2)</x:f>
        <x:v>242.9</x:v>
      </x:c>
      <x:c r="V7" s="50" t="str">
        <x:v>B0DW8L4YLM</x:v>
      </x:c>
      <x:c r="W7" s="50" t="str">
        <x:v>https://www.amazon.ca/dp/B0DW8L4YLM</x:v>
      </x:c>
      <x:c r="X7" s="51" t="n">
        <x:v>46273</x:v>
      </x:c>
      <x:c r="Y7" s="4"/>
      <x:c r="Z7" s="4"/>
      <x:c r="AA7" s="4"/>
      <x:c r="AB7" s="4"/>
      <x:c r="AC7" s="4"/>
      <x:c r="AD7" s="4"/>
    </x:row>
    <x:row r="8" s="2" customFormat="1" customHeight="1">
      <x:c r="A8" s="12" t="s">
        <x:v>43</x:v>
      </x:c>
      <x:c r="B8" s="9" t="e">
        <x:f>_xlfn.DISPIMG("ID_CA8344367B174FDB93A6A213A78212BE",1)</x:f>
        <x:v>#NAME?</x:v>
      </x:c>
      <x:c r="C8" s="10" t="s">
        <x:v>51</x:v>
      </x:c>
      <x:c r="D8" s="8" t="s">
        <x:v>52</x:v>
      </x:c>
      <x:c r="E8" s="8" t="s">
        <x:v>46</x:v>
      </x:c>
      <x:c r="F8" s="10" t="s">
        <x:v>47</x:v>
      </x:c>
      <x:c r="G8" s="10" t="s">
        <x:v>53</x:v>
      </x:c>
      <x:c r="H8" s="8" t="s">
        <x:v>27</x:v>
      </x:c>
      <x:c r="I8" s="9">
        <x:v>700</x:v>
      </x:c>
      <x:c r="J8" s="9">
        <x:v>900</x:v>
      </x:c>
      <x:c r="K8" s="10" t="s">
        <x:v>23</x:v>
      </x:c>
      <x:c r="L8" s="8">
        <x:v>1</x:v>
      </x:c>
      <x:c r="M8" s="12" t="s">
        <x:v>49</x:v>
      </x:c>
      <x:c r="N8" s="9" t="n">
        <x:f>(J8*L8+300)/1000</x:f>
        <x:v>1.2</x:v>
      </x:c>
      <x:c r="O8" s="24" t="s">
        <x:v>54</x:v>
      </x:c>
      <x:c r="P8" s="9" t="n">
        <x:f>_xlfn.IFS(J8&lt;480,"3",J8&lt;980,"3",J8&lt;1480,"3.5",J8&lt;1980,"4",J8&lt;1980,"4.5",J8&lt;2950,"5")</x:f>
        <x:v>3</x:v>
      </x:c>
      <x:c r="Q8" s="48" t="n">
        <x:f>IF(O8="","",O8*10)</x:f>
        <x:v>207</x:v>
      </x:c>
      <x:c r="R8" s="48" t="n">
        <x:f>IF(P8="","",P8*10)</x:f>
        <x:v>30</x:v>
      </x:c>
      <x:c r="S8" s="48" t="n">
        <x:f>IF(OR(Q8="",R8=""),"",Q8+R8)</x:f>
        <x:v>237</x:v>
      </x:c>
      <x:c r="T8" s="49" t="n">
        <x:v>24.29</x:v>
      </x:c>
      <x:c r="U8" s="49" t="n">
        <x:f>ROUND(T8*10,2)</x:f>
        <x:v>242.9</x:v>
      </x:c>
      <x:c r="V8" s="50" t="str">
        <x:v>B0DW8L4YLM</x:v>
      </x:c>
      <x:c r="W8" s="50" t="str">
        <x:v>https://www.amazon.ca/dp/B0DW8L4YLM</x:v>
      </x:c>
      <x:c r="X8" s="51" t="n">
        <x:v>46273</x:v>
      </x:c>
      <x:c r="Y8" s="4"/>
      <x:c r="Z8" s="4"/>
      <x:c r="AA8" s="4"/>
      <x:c r="AB8" s="4"/>
      <x:c r="AC8" s="4"/>
      <x:c r="AD8" s="4"/>
    </x:row>
    <x:row r="9" s="2" customFormat="1" customHeight="1">
      <x:c r="A9" s="12" t="s">
        <x:v>55</x:v>
      </x:c>
      <x:c r="B9" s="9" t="e">
        <x:f>_xlfn.DISPIMG("ID_C578F398F8D24BFA9DFEA4AAF25CB5CC",1)</x:f>
        <x:v>#NAME?</x:v>
      </x:c>
      <x:c r="C9" s="12" t="s">
        <x:v>56</x:v>
      </x:c>
      <x:c r="D9" s="8" t="s">
        <x:v>57</x:v>
      </x:c>
      <x:c r="E9" s="8" t="s">
        <x:v>46</x:v>
      </x:c>
      <x:c r="F9" s="10" t="s">
        <x:v>47</x:v>
      </x:c>
      <x:c r="G9" s="9" t="s">
        <x:v>58</x:v>
      </x:c>
      <x:c r="H9" s="10" t="s">
        <x:v>59</x:v>
      </x:c>
      <x:c r="I9" s="9">
        <x:v>780</x:v>
      </x:c>
      <x:c r="J9" s="9">
        <x:v>980</x:v>
      </x:c>
      <x:c r="K9" s="10" t="s">
        <x:v>23</x:v>
      </x:c>
      <x:c r="L9" s="8">
        <x:v>1</x:v>
      </x:c>
      <x:c r="M9" s="12" t="s">
        <x:v>49</x:v>
      </x:c>
      <x:c r="N9" s="9" t="n">
        <x:f>(J9*L9+300)/1000</x:f>
        <x:v>1.28</x:v>
      </x:c>
      <x:c r="O9" s="24" t="s">
        <x:v>60</x:v>
      </x:c>
      <x:c r="P9" s="9" t="n">
        <x:f>_xlfn.IFS(J9&lt;480,"3",J9&lt;980,"3",J9&lt;1480,"3.5",J9&lt;1980,"4",J9&lt;1980,"4.5",J9&lt;2950,"5")</x:f>
        <x:v>3.5</x:v>
      </x:c>
      <x:c r="Q9" s="48" t="n">
        <x:f>IF(O9="","",O9*10)</x:f>
        <x:v>229</x:v>
      </x:c>
      <x:c r="R9" s="48" t="n">
        <x:f>IF(P9="","",P9*10)</x:f>
        <x:v>35</x:v>
      </x:c>
      <x:c r="S9" s="48" t="n">
        <x:f>IF(OR(Q9="",R9=""),"",Q9+R9)</x:f>
        <x:v>264</x:v>
      </x:c>
      <x:c r="T9" s="49" t="n">
        <x:v>24.29</x:v>
      </x:c>
      <x:c r="U9" s="49" t="n">
        <x:f>ROUND(T9*10,2)</x:f>
        <x:v>242.9</x:v>
      </x:c>
      <x:c r="V9" s="50" t="str">
        <x:v>B0DW8L4YLM</x:v>
      </x:c>
      <x:c r="W9" s="50" t="str">
        <x:v>https://www.amazon.ca/dp/B0DW8L4YLM</x:v>
      </x:c>
      <x:c r="X9" s="51" t="n">
        <x:v>46273</x:v>
      </x:c>
      <x:c r="Y9" s="4"/>
      <x:c r="Z9" s="4"/>
      <x:c r="AA9" s="4"/>
      <x:c r="AB9" s="4"/>
      <x:c r="AC9" s="4"/>
      <x:c r="AD9" s="4"/>
    </x:row>
    <x:row r="10" s="2" customFormat="1" customHeight="1">
      <x:c r="A10" s="8" t="s">
        <x:v>61</x:v>
      </x:c>
      <x:c r="B10" s="9" t="e">
        <x:f>_xlfn.DISPIMG("ID_1CE74D694CD84E4DB6B918DB1861FE5A",1)</x:f>
        <x:v>#NAME?</x:v>
      </x:c>
      <x:c r="C10" s="10">
        <x:v>717</x:v>
      </x:c>
      <x:c r="D10" s="8" t="s">
        <x:v>34</x:v>
      </x:c>
      <x:c r="E10" s="8" t="s">
        <x:v>19</x:v>
      </x:c>
      <x:c r="F10" s="8" t="s">
        <x:v>62</x:v>
      </x:c>
      <x:c r="G10" s="8" t="s">
        <x:v>63</x:v>
      </x:c>
      <x:c r="H10" s="10" t="s">
        <x:v>64</x:v>
      </x:c>
      <x:c r="I10" s="8">
        <x:v>860</x:v>
      </x:c>
      <x:c r="J10" s="8">
        <x:v>960</x:v>
      </x:c>
      <x:c r="K10" s="10" t="s">
        <x:v>23</x:v>
      </x:c>
      <x:c r="L10" s="8">
        <x:v>1</x:v>
      </x:c>
      <x:c r="M10" s="8" t="s">
        <x:v>65</x:v>
      </x:c>
      <x:c r="N10" s="8">
        <x:v>1.26</x:v>
      </x:c>
      <x:c r="O10" s="21">
        <x:v>15</x:v>
      </x:c>
      <x:c r="P10" s="10">
        <x:v>5</x:v>
      </x:c>
      <x:c r="Q10" s="48" t="n">
        <x:f>IF(O10="","",O10*10)</x:f>
        <x:v>150</x:v>
      </x:c>
      <x:c r="R10" s="48" t="n">
        <x:f>IF(P10="","",P10*10)</x:f>
        <x:v>50</x:v>
      </x:c>
      <x:c r="S10" s="48" t="n">
        <x:f>IF(OR(Q10="",R10=""),"",Q10+R10)</x:f>
        <x:v>200</x:v>
      </x:c>
      <x:c r="T10" s="49" t="n">
        <x:v>24.29</x:v>
      </x:c>
      <x:c r="U10" s="49" t="n">
        <x:f>ROUND(T10*10,2)</x:f>
        <x:v>242.9</x:v>
      </x:c>
      <x:c r="V10" s="50" t="str">
        <x:v>B0DW8L4YLM</x:v>
      </x:c>
      <x:c r="W10" s="50" t="str">
        <x:v>https://www.amazon.ca/dp/B0DW8L4YLM</x:v>
      </x:c>
      <x:c r="X10" s="51" t="n">
        <x:v>46273</x:v>
      </x:c>
      <x:c r="Y10" s="4"/>
      <x:c r="Z10" s="4"/>
      <x:c r="AA10" s="4"/>
      <x:c r="AB10" s="4"/>
      <x:c r="AC10" s="4"/>
      <x:c r="AD10" s="4"/>
    </x:row>
    <x:row r="11" s="2" customFormat="1" customHeight="1">
      <x:c r="A11" s="8" t="s">
        <x:v>66</x:v>
      </x:c>
      <x:c r="B11" s="9" t="e">
        <x:f>_xlfn.DISPIMG("ID_5A5D78A6EFE54EA79AF0DB09DCC7171C",1)</x:f>
        <x:v>#NAME?</x:v>
      </x:c>
      <x:c r="C11" s="10">
        <x:v>898</x:v>
      </x:c>
      <x:c r="D11" s="8" t="s">
        <x:v>18</x:v>
      </x:c>
      <x:c r="E11" s="8" t="s">
        <x:v>19</x:v>
      </x:c>
      <x:c r="F11" s="8" t="s">
        <x:v>67</x:v>
      </x:c>
      <x:c r="G11" s="8" t="s">
        <x:v>26</x:v>
      </x:c>
      <x:c r="H11" s="8" t="s">
        <x:v>27</x:v>
      </x:c>
      <x:c r="I11" s="8">
        <x:v>700</x:v>
      </x:c>
      <x:c r="J11" s="8">
        <x:v>800</x:v>
      </x:c>
      <x:c r="K11" s="10" t="s">
        <x:v>23</x:v>
      </x:c>
      <x:c r="L11" s="8">
        <x:v>1</x:v>
      </x:c>
      <x:c r="M11" s="8" t="s">
        <x:v>27</x:v>
      </x:c>
      <x:c r="N11" s="8">
        <x:v>0.8</x:v>
      </x:c>
      <x:c r="O11" s="21">
        <x:v>14.5</x:v>
      </x:c>
      <x:c r="P11" s="9">
        <x:v>3.5</x:v>
      </x:c>
      <x:c r="Q11" s="48" t="n">
        <x:f>IF(O11="","",O11*10)</x:f>
        <x:v>145</x:v>
      </x:c>
      <x:c r="R11" s="48" t="n">
        <x:f>IF(P11="","",P11*10)</x:f>
        <x:v>35</x:v>
      </x:c>
      <x:c r="S11" s="48" t="n">
        <x:f>IF(OR(Q11="",R11=""),"",Q11+R11)</x:f>
        <x:v>180</x:v>
      </x:c>
      <x:c r="T11" s="49" t="n">
        <x:v>24.29</x:v>
      </x:c>
      <x:c r="U11" s="49" t="n">
        <x:f>ROUND(T11*10,2)</x:f>
        <x:v>242.9</x:v>
      </x:c>
      <x:c r="V11" s="50" t="str">
        <x:v>B0DW8L4YLM</x:v>
      </x:c>
      <x:c r="W11" s="50" t="str">
        <x:v>https://www.amazon.ca/dp/B0DW8L4YLM</x:v>
      </x:c>
      <x:c r="X11" s="51" t="n">
        <x:v>46273</x:v>
      </x:c>
      <x:c r="Y11" s="4"/>
      <x:c r="Z11" s="4"/>
      <x:c r="AA11" s="4"/>
      <x:c r="AB11" s="4"/>
      <x:c r="AC11" s="4"/>
      <x:c r="AD11" s="4"/>
    </x:row>
    <x:row r="12" s="2" customFormat="1" customHeight="1">
      <x:c r="A12" s="8" t="s">
        <x:v>68</x:v>
      </x:c>
      <x:c r="B12" s="9" t="e">
        <x:f>_xlfn.DISPIMG("ID_484712D7F8AD493C9BF71972F172906C",1)</x:f>
        <x:v>#NAME?</x:v>
      </x:c>
      <x:c r="C12" s="10" t="s">
        <x:v>69</x:v>
      </x:c>
      <x:c r="D12" s="8" t="s">
        <x:v>18</x:v>
      </x:c>
      <x:c r="E12" s="8" t="s">
        <x:v>19</x:v>
      </x:c>
      <x:c r="F12" s="8" t="s">
        <x:v>67</x:v>
      </x:c>
      <x:c r="G12" s="8" t="s">
        <x:v>26</x:v>
      </x:c>
      <x:c r="H12" s="8" t="s">
        <x:v>27</x:v>
      </x:c>
      <x:c r="I12" s="8">
        <x:v>700</x:v>
      </x:c>
      <x:c r="J12" s="8">
        <x:v>800</x:v>
      </x:c>
      <x:c r="K12" s="10" t="s">
        <x:v>23</x:v>
      </x:c>
      <x:c r="L12" s="8">
        <x:v>1</x:v>
      </x:c>
      <x:c r="M12" s="8" t="s">
        <x:v>27</x:v>
      </x:c>
      <x:c r="N12" s="8">
        <x:v>0.8</x:v>
      </x:c>
      <x:c r="O12" s="21">
        <x:v>14</x:v>
      </x:c>
      <x:c r="P12" s="10">
        <x:v>3.5</x:v>
      </x:c>
      <x:c r="Q12" s="48" t="n">
        <x:f>IF(O12="","",O12*10)</x:f>
        <x:v>140</x:v>
      </x:c>
      <x:c r="R12" s="48" t="n">
        <x:f>IF(P12="","",P12*10)</x:f>
        <x:v>35</x:v>
      </x:c>
      <x:c r="S12" s="48" t="n">
        <x:f>IF(OR(Q12="",R12=""),"",Q12+R12)</x:f>
        <x:v>175</x:v>
      </x:c>
      <x:c r="T12" s="49" t="n">
        <x:v>24.29</x:v>
      </x:c>
      <x:c r="U12" s="49" t="n">
        <x:f>ROUND(T12*10,2)</x:f>
        <x:v>242.9</x:v>
      </x:c>
      <x:c r="V12" s="50" t="str">
        <x:v>B0DW8L4YLM</x:v>
      </x:c>
      <x:c r="W12" s="50" t="str">
        <x:v>https://www.amazon.ca/dp/B0DW8L4YLM</x:v>
      </x:c>
      <x:c r="X12" s="51" t="n">
        <x:v>46273</x:v>
      </x:c>
      <x:c r="Y12" s="4"/>
      <x:c r="Z12" s="4"/>
      <x:c r="AA12" s="4"/>
      <x:c r="AB12" s="4"/>
      <x:c r="AC12" s="4"/>
      <x:c r="AD12" s="4"/>
    </x:row>
    <x:row r="13" s="2" customFormat="1" customHeight="1">
      <x:c r="A13" s="8" t="s">
        <x:v>70</x:v>
      </x:c>
      <x:c r="B13" s="9" t="e">
        <x:f>_xlfn.DISPIMG("ID_F4B5C464DFA84AF5B2D127038BB0FBB3",1)</x:f>
        <x:v>#NAME?</x:v>
      </x:c>
      <x:c r="C13" s="8">
        <x:v>8108</x:v>
      </x:c>
      <x:c r="D13" s="8" t="s">
        <x:v>71</x:v>
      </x:c>
      <x:c r="E13" s="8" t="s">
        <x:v>72</x:v>
      </x:c>
      <x:c r="F13" s="8" t="s">
        <x:v>73</x:v>
      </x:c>
      <x:c r="G13" s="8" t="s">
        <x:v>74</x:v>
      </x:c>
      <x:c r="H13" s="10" t="s">
        <x:v>75</x:v>
      </x:c>
      <x:c r="I13" s="8">
        <x:v>750</x:v>
      </x:c>
      <x:c r="J13" s="8">
        <x:v>1050</x:v>
      </x:c>
      <x:c r="K13" s="10" t="s">
        <x:v>23</x:v>
      </x:c>
      <x:c r="L13" s="8">
        <x:v>1</x:v>
      </x:c>
      <x:c r="M13" s="8" t="s">
        <x:v>76</x:v>
      </x:c>
      <x:c r="N13" s="8">
        <x:v>1.05</x:v>
      </x:c>
      <x:c r="O13" s="21">
        <x:v>20</x:v>
      </x:c>
      <x:c r="P13" s="10">
        <x:v>5</x:v>
      </x:c>
      <x:c r="Q13" s="48" t="n">
        <x:f>IF(O13="","",O13*10)</x:f>
        <x:v>200</x:v>
      </x:c>
      <x:c r="R13" s="48" t="n">
        <x:f>IF(P13="","",P13*10)</x:f>
        <x:v>50</x:v>
      </x:c>
      <x:c r="S13" s="48" t="n">
        <x:f>IF(OR(Q13="",R13=""),"",Q13+R13)</x:f>
        <x:v>250</x:v>
      </x:c>
      <x:c r="T13" s="49" t="n">
        <x:v>24.29</x:v>
      </x:c>
      <x:c r="U13" s="49" t="n">
        <x:f>ROUND(T13*10,2)</x:f>
        <x:v>242.9</x:v>
      </x:c>
      <x:c r="V13" s="50" t="str">
        <x:v>B0DW8L4YLM</x:v>
      </x:c>
      <x:c r="W13" s="50" t="str">
        <x:v>https://www.amazon.ca/dp/B0DW8L4YLM</x:v>
      </x:c>
      <x:c r="X13" s="51" t="n">
        <x:v>46273</x:v>
      </x:c>
      <x:c r="Y13" s="4"/>
      <x:c r="Z13" s="4"/>
      <x:c r="AA13" s="4"/>
      <x:c r="AB13" s="4"/>
      <x:c r="AC13" s="4"/>
      <x:c r="AD13" s="4"/>
    </x:row>
    <x:row r="14" s="2" customFormat="1" customHeight="1">
      <x:c r="A14" s="11" t="s">
        <x:v>77</x:v>
      </x:c>
      <x:c r="B14" s="9" t="e">
        <x:f>_xlfn.DISPIMG("ID_167E8CD7DD5B46399C45AAA73A4FDD31",1)</x:f>
        <x:v>#NAME?</x:v>
      </x:c>
      <x:c r="C14" s="11" t="s">
        <x:v>78</x:v>
      </x:c>
      <x:c r="D14" s="8" t="s">
        <x:v>79</x:v>
      </x:c>
      <x:c r="E14" s="8" t="s">
        <x:v>46</x:v>
      </x:c>
      <x:c r="F14" s="10" t="s">
        <x:v>80</x:v>
      </x:c>
      <x:c r="G14" s="10" t="s">
        <x:v>81</x:v>
      </x:c>
      <x:c r="H14" s="11" t="s">
        <x:v>82</x:v>
      </x:c>
      <x:c r="I14" s="9">
        <x:v>450</x:v>
      </x:c>
      <x:c r="J14" s="9">
        <x:v>580</x:v>
      </x:c>
      <x:c r="K14" s="10" t="s">
        <x:v>23</x:v>
      </x:c>
      <x:c r="L14" s="8">
        <x:v>1</x:v>
      </x:c>
      <x:c r="M14" s="11" t="s">
        <x:v>82</x:v>
      </x:c>
      <x:c r="N14" s="9" t="n">
        <x:f>(J14*L14+300)/1000</x:f>
        <x:v>0.88</x:v>
      </x:c>
      <x:c r="O14" s="24" t="s">
        <x:v>83</x:v>
      </x:c>
      <x:c r="P14" s="9" t="n">
        <x:f>_xlfn.IFS(J14&lt;480,"3",J14&lt;980,"3",J14&lt;1480,"3.5",J14&lt;1980,"4",J14&lt;1980,"4.5",J14&lt;2950,"5")</x:f>
        <x:v>3</x:v>
      </x:c>
      <x:c r="Q14" s="48" t="n">
        <x:f>IF(O14="","",O14*10)</x:f>
        <x:v>125</x:v>
      </x:c>
      <x:c r="R14" s="48" t="n">
        <x:f>IF(P14="","",P14*10)</x:f>
        <x:v>30</x:v>
      </x:c>
      <x:c r="S14" s="48" t="n">
        <x:f>IF(OR(Q14="",R14=""),"",Q14+R14)</x:f>
        <x:v>155</x:v>
      </x:c>
      <x:c r="T14" s="49" t="n">
        <x:v>24.29</x:v>
      </x:c>
      <x:c r="U14" s="49" t="n">
        <x:f>ROUND(T14*10,2)</x:f>
        <x:v>242.9</x:v>
      </x:c>
      <x:c r="V14" s="50" t="str">
        <x:v>B0DW8L4YLM</x:v>
      </x:c>
      <x:c r="W14" s="50" t="str">
        <x:v>https://www.amazon.ca/dp/B0DW8L4YLM</x:v>
      </x:c>
      <x:c r="X14" s="51" t="n">
        <x:v>46273</x:v>
      </x:c>
      <x:c r="Y14" s="4"/>
      <x:c r="Z14" s="4"/>
      <x:c r="AA14" s="4"/>
      <x:c r="AB14" s="4"/>
      <x:c r="AC14" s="4"/>
      <x:c r="AD14" s="4"/>
    </x:row>
    <x:row r="15" s="1" customFormat="1" customHeight="1">
      <x:c r="A15" s="8" t="s">
        <x:v>84</x:v>
      </x:c>
      <x:c r="B15" s="3" t="e">
        <x:f>_xlfn.DISPIMG("ID_45BBD96845604DFEBE9B94EE0D520B81",1)</x:f>
        <x:v>#NAME?</x:v>
      </x:c>
      <x:c r="C15" s="3">
        <x:v>868</x:v>
      </x:c>
      <x:c r="D15" s="3" t="s">
        <x:v>85</x:v>
      </x:c>
      <x:c r="E15" s="3" t="s">
        <x:v>19</x:v>
      </x:c>
      <x:c r="F15" s="3" t="s">
        <x:v>47</x:v>
      </x:c>
      <x:c r="G15" s="3" t="s">
        <x:v>86</x:v>
      </x:c>
      <x:c r="H15" s="3" t="s">
        <x:v>87</x:v>
      </x:c>
      <x:c r="I15" s="3">
        <x:v>1320</x:v>
      </x:c>
      <x:c r="J15" s="3">
        <x:v>1620</x:v>
      </x:c>
      <x:c r="K15" s="10" t="s">
        <x:v>23</x:v>
      </x:c>
      <x:c r="L15" s="8">
        <x:v>1</x:v>
      </x:c>
      <x:c r="M15" s="3" t="s">
        <x:v>87</x:v>
      </x:c>
      <x:c r="N15" s="3">
        <x:v>1.62</x:v>
      </x:c>
      <x:c r="O15" s="25" t="s">
        <x:v>88</x:v>
      </x:c>
      <x:c r="P15" s="8">
        <x:v>5</x:v>
      </x:c>
      <x:c r="Q15" s="48" t="n">
        <x:f>IF(O15="","",O15*10)</x:f>
        <x:v>190</x:v>
      </x:c>
      <x:c r="R15" s="48" t="n">
        <x:f>IF(P15="","",P15*10)</x:f>
        <x:v>50</x:v>
      </x:c>
      <x:c r="S15" s="48" t="n">
        <x:f>IF(OR(Q15="",R15=""),"",Q15+R15)</x:f>
        <x:v>240</x:v>
      </x:c>
      <x:c r="T15" s="49" t="n">
        <x:v>24.29</x:v>
      </x:c>
      <x:c r="U15" s="49" t="n">
        <x:f>ROUND(T15*10,2)</x:f>
        <x:v>242.9</x:v>
      </x:c>
      <x:c r="V15" s="50" t="str">
        <x:v>B0DW8L4YLM</x:v>
      </x:c>
      <x:c r="W15" s="50" t="str">
        <x:v>https://www.amazon.ca/dp/B0DW8L4YLM</x:v>
      </x:c>
      <x:c r="X15" s="51" t="n">
        <x:v>46273</x:v>
      </x:c>
      <x:c r="Y15" s="6"/>
      <x:c r="Z15" s="6"/>
      <x:c r="AA15" s="6"/>
      <x:c r="AB15" s="6"/>
      <x:c r="AC15" s="6"/>
      <x:c r="AD15" s="6"/>
    </x:row>
    <x:row r="16" s="2" customFormat="1" customHeight="1">
      <x:c r="A16" s="8" t="s">
        <x:v>89</x:v>
      </x:c>
      <x:c r="B16" s="9" t="e">
        <x:f>_xlfn.DISPIMG("ID_4447138689024E74ACCA23E04EE8022B",1)</x:f>
        <x:v>#NAME?</x:v>
      </x:c>
      <x:c r="C16" s="10" t="s">
        <x:v>90</x:v>
      </x:c>
      <x:c r="D16" s="8" t="s">
        <x:v>18</x:v>
      </x:c>
      <x:c r="E16" s="8" t="s">
        <x:v>19</x:v>
      </x:c>
      <x:c r="F16" s="8" t="s">
        <x:v>91</x:v>
      </x:c>
      <x:c r="G16" s="8" t="s">
        <x:v>92</x:v>
      </x:c>
      <x:c r="H16" s="8" t="s">
        <x:v>93</x:v>
      </x:c>
      <x:c r="I16" s="8">
        <x:v>1300</x:v>
      </x:c>
      <x:c r="J16" s="8">
        <x:v>1480</x:v>
      </x:c>
      <x:c r="K16" s="10" t="s">
        <x:v>23</x:v>
      </x:c>
      <x:c r="L16" s="8">
        <x:v>1</x:v>
      </x:c>
      <x:c r="M16" s="8" t="s">
        <x:v>93</x:v>
      </x:c>
      <x:c r="N16" s="8">
        <x:v>1.48</x:v>
      </x:c>
      <x:c r="O16" s="21">
        <x:v>22</x:v>
      </x:c>
      <x:c r="P16" s="9" t="n">
        <x:f>_xlfn.IFS(J16&lt;480,"3",J16&lt;980,"3",J16&lt;1480,"3.5",J16&lt;1980,"4",J16&lt;1980,"4.5",J16&lt;2950,"5")</x:f>
        <x:v>4</x:v>
      </x:c>
      <x:c r="Q16" s="48" t="n">
        <x:f>IF(O16="","",O16*10)</x:f>
        <x:v>220</x:v>
      </x:c>
      <x:c r="R16" s="48" t="n">
        <x:f>IF(P16="","",P16*10)</x:f>
        <x:v>40</x:v>
      </x:c>
      <x:c r="S16" s="48" t="n">
        <x:f>IF(OR(Q16="",R16=""),"",Q16+R16)</x:f>
        <x:v>260</x:v>
      </x:c>
      <x:c r="T16" s="49" t="n">
        <x:v>24.29</x:v>
      </x:c>
      <x:c r="U16" s="49" t="n">
        <x:f>ROUND(T16*10,2)</x:f>
        <x:v>242.9</x:v>
      </x:c>
      <x:c r="V16" s="50" t="str">
        <x:v>B0DW8L4YLM</x:v>
      </x:c>
      <x:c r="W16" s="50" t="str">
        <x:v>https://www.amazon.ca/dp/B0DW8L4YLM</x:v>
      </x:c>
      <x:c r="X16" s="51" t="n">
        <x:v>46273</x:v>
      </x:c>
      <x:c r="Y16" s="4"/>
      <x:c r="Z16" s="4"/>
      <x:c r="AA16" s="4"/>
      <x:c r="AB16" s="4"/>
      <x:c r="AC16" s="4"/>
      <x:c r="AD16" s="4"/>
    </x:row>
    <x:row r="17" s="2" customFormat="1" customHeight="1">
      <x:c r="A17" s="8"/>
      <x:c r="B17" s="9" t="e">
        <x:f>_xlfn.DISPIMG("ID_A63F6233F0A540F7BB1B2F95E3E4810F",1)</x:f>
        <x:v>#NAME?</x:v>
      </x:c>
      <x:c r="C17" s="10" t="s">
        <x:v>94</x:v>
      </x:c>
      <x:c r="D17" s="8" t="s">
        <x:v>18</x:v>
      </x:c>
      <x:c r="E17" s="8" t="s">
        <x:v>19</x:v>
      </x:c>
      <x:c r="F17" s="8" t="s">
        <x:v>95</x:v>
      </x:c>
      <x:c r="G17" s="8" t="s">
        <x:v>96</x:v>
      </x:c>
      <x:c r="H17" s="8" t="s">
        <x:v>93</x:v>
      </x:c>
      <x:c r="I17" s="8">
        <x:v>1450</x:v>
      </x:c>
      <x:c r="J17" s="8">
        <x:v>1300</x:v>
      </x:c>
      <x:c r="K17" s="10" t="s">
        <x:v>23</x:v>
      </x:c>
      <x:c r="L17" s="8">
        <x:v>1</x:v>
      </x:c>
      <x:c r="M17" s="8" t="s">
        <x:v>93</x:v>
      </x:c>
      <x:c r="N17" s="8">
        <x:v>1.6</x:v>
      </x:c>
      <x:c r="O17" s="21">
        <x:v>25</x:v>
      </x:c>
      <x:c r="P17" s="9" t="n">
        <x:f>_xlfn.IFS(J17&lt;480,"3",J17&lt;980,"3",J17&lt;1480,"3.5",J17&lt;1980,"4",J17&lt;1980,"4.5",J17&lt;2950,"5")</x:f>
        <x:v>3.5</x:v>
      </x:c>
      <x:c r="Q17" s="48" t="n">
        <x:f>IF(O17="","",O17*10)</x:f>
        <x:v>250</x:v>
      </x:c>
      <x:c r="R17" s="48" t="n">
        <x:f>IF(P17="","",P17*10)</x:f>
        <x:v>35</x:v>
      </x:c>
      <x:c r="S17" s="48" t="n">
        <x:f>IF(OR(Q17="",R17=""),"",Q17+R17)</x:f>
        <x:v>285</x:v>
      </x:c>
      <x:c r="T17" s="49" t="n">
        <x:v>24.29</x:v>
      </x:c>
      <x:c r="U17" s="49" t="n">
        <x:f>ROUND(T17*10,2)</x:f>
        <x:v>242.9</x:v>
      </x:c>
      <x:c r="V17" s="50" t="str">
        <x:v>B0DW8L4YLM</x:v>
      </x:c>
      <x:c r="W17" s="50" t="str">
        <x:v>https://www.amazon.ca/dp/B0DW8L4YLM</x:v>
      </x:c>
      <x:c r="X17" s="51" t="n">
        <x:v>46273</x:v>
      </x:c>
      <x:c r="Y17" s="4"/>
      <x:c r="Z17" s="4"/>
      <x:c r="AA17" s="4"/>
      <x:c r="AB17" s="4"/>
      <x:c r="AC17" s="4"/>
      <x:c r="AD17" s="4"/>
    </x:row>
    <x:row r="18" s="2" customFormat="1" customHeight="1">
      <x:c r="A18" s="8"/>
      <x:c r="B18" s="9" t="e">
        <x:f>_xlfn.DISPIMG("ID_92511286E56544D69974139A65DB5478",1)</x:f>
        <x:v>#NAME?</x:v>
      </x:c>
      <x:c r="C18" s="10" t="s">
        <x:v>97</x:v>
      </x:c>
      <x:c r="D18" s="8" t="s">
        <x:v>18</x:v>
      </x:c>
      <x:c r="E18" s="8" t="s">
        <x:v>19</x:v>
      </x:c>
      <x:c r="F18" s="8" t="s">
        <x:v>98</x:v>
      </x:c>
      <x:c r="G18" s="8" t="s">
        <x:v>96</x:v>
      </x:c>
      <x:c r="H18" s="8" t="s">
        <x:v>93</x:v>
      </x:c>
      <x:c r="I18" s="8">
        <x:v>1450</x:v>
      </x:c>
      <x:c r="J18" s="8">
        <x:v>1300</x:v>
      </x:c>
      <x:c r="K18" s="10" t="s">
        <x:v>23</x:v>
      </x:c>
      <x:c r="L18" s="8">
        <x:v>1</x:v>
      </x:c>
      <x:c r="M18" s="8" t="s">
        <x:v>93</x:v>
      </x:c>
      <x:c r="N18" s="8">
        <x:v>1.6</x:v>
      </x:c>
      <x:c r="O18" s="21">
        <x:v>28</x:v>
      </x:c>
      <x:c r="P18" s="9" t="n">
        <x:f>_xlfn.IFS(J18&lt;480,"3",J18&lt;980,"3",J18&lt;1480,"3.5",J18&lt;1980,"4",J18&lt;1980,"4.5",J18&lt;2950,"5")</x:f>
        <x:v>3.5</x:v>
      </x:c>
      <x:c r="Q18" s="48" t="n">
        <x:f>IF(O18="","",O18*10)</x:f>
        <x:v>280</x:v>
      </x:c>
      <x:c r="R18" s="48" t="n">
        <x:f>IF(P18="","",P18*10)</x:f>
        <x:v>35</x:v>
      </x:c>
      <x:c r="S18" s="48" t="n">
        <x:f>IF(OR(Q18="",R18=""),"",Q18+R18)</x:f>
        <x:v>315</x:v>
      </x:c>
      <x:c r="T18" s="49" t="n">
        <x:v>24.29</x:v>
      </x:c>
      <x:c r="U18" s="49" t="n">
        <x:f>ROUND(T18*10,2)</x:f>
        <x:v>242.9</x:v>
      </x:c>
      <x:c r="V18" s="50" t="str">
        <x:v>B0DW8L4YLM</x:v>
      </x:c>
      <x:c r="W18" s="50" t="str">
        <x:v>https://www.amazon.ca/dp/B0DW8L4YLM</x:v>
      </x:c>
      <x:c r="X18" s="51" t="n">
        <x:v>46273</x:v>
      </x:c>
      <x:c r="Y18" s="4"/>
      <x:c r="Z18" s="4"/>
      <x:c r="AA18" s="4"/>
      <x:c r="AB18" s="4"/>
      <x:c r="AC18" s="4"/>
      <x:c r="AD18" s="4"/>
    </x:row>
    <x:row r="19" s="2" customFormat="1" customHeight="1">
      <x:c r="A19" s="8"/>
      <x:c r="B19" s="9" t="e">
        <x:f>_xlfn.DISPIMG("ID_CC3568F3CBC0417AA4D39709D113B273",1)</x:f>
        <x:v>#NAME?</x:v>
      </x:c>
      <x:c r="C19" s="10" t="s">
        <x:v>99</x:v>
      </x:c>
      <x:c r="D19" s="8" t="s">
        <x:v>18</x:v>
      </x:c>
      <x:c r="E19" s="8" t="s">
        <x:v>19</x:v>
      </x:c>
      <x:c r="F19" s="8" t="s">
        <x:v>98</x:v>
      </x:c>
      <x:c r="G19" s="8" t="s">
        <x:v>96</x:v>
      </x:c>
      <x:c r="H19" s="8" t="s">
        <x:v>93</x:v>
      </x:c>
      <x:c r="I19" s="8">
        <x:v>1450</x:v>
      </x:c>
      <x:c r="J19" s="8">
        <x:v>1300</x:v>
      </x:c>
      <x:c r="K19" s="10" t="s">
        <x:v>23</x:v>
      </x:c>
      <x:c r="L19" s="8">
        <x:v>1</x:v>
      </x:c>
      <x:c r="M19" s="8" t="s">
        <x:v>93</x:v>
      </x:c>
      <x:c r="N19" s="8">
        <x:v>1.6</x:v>
      </x:c>
      <x:c r="O19" s="21">
        <x:v>31</x:v>
      </x:c>
      <x:c r="P19" s="9" t="n">
        <x:f>_xlfn.IFS(J19&lt;480,"3",J19&lt;980,"3",J19&lt;1480,"3.5",J19&lt;1980,"4",J19&lt;1980,"4.5",J19&lt;2950,"5")</x:f>
        <x:v>3.5</x:v>
      </x:c>
      <x:c r="Q19" s="48" t="n">
        <x:f>IF(O19="","",O19*10)</x:f>
        <x:v>310</x:v>
      </x:c>
      <x:c r="R19" s="48" t="n">
        <x:f>IF(P19="","",P19*10)</x:f>
        <x:v>35</x:v>
      </x:c>
      <x:c r="S19" s="48" t="n">
        <x:f>IF(OR(Q19="",R19=""),"",Q19+R19)</x:f>
        <x:v>345</x:v>
      </x:c>
      <x:c r="T19" s="49" t="n">
        <x:v>24.29</x:v>
      </x:c>
      <x:c r="U19" s="49" t="n">
        <x:f>ROUND(T19*10,2)</x:f>
        <x:v>242.9</x:v>
      </x:c>
      <x:c r="V19" s="50" t="str">
        <x:v>B0DW8L4YLM</x:v>
      </x:c>
      <x:c r="W19" s="50" t="str">
        <x:v>https://www.amazon.ca/dp/B0DW8L4YLM</x:v>
      </x:c>
      <x:c r="X19" s="51" t="n">
        <x:v>46273</x:v>
      </x:c>
      <x:c r="Y19" s="4"/>
      <x:c r="Z19" s="4"/>
      <x:c r="AA19" s="4"/>
      <x:c r="AB19" s="4"/>
      <x:c r="AC19" s="4"/>
      <x:c r="AD19" s="4"/>
    </x:row>
    <x:row r="20" s="3" customFormat="1" customHeight="1">
      <x:c r="A20" s="3" t="s">
        <x:v>100</x:v>
      </x:c>
      <x:c r="B20" s="3" t="e">
        <x:f>_xlfn.DISPIMG("ID_C0523C55A8284C7DB07004B4655A9643",1)</x:f>
        <x:v>#NAME?</x:v>
      </x:c>
      <x:c r="C20" s="13"/>
      <x:c r="D20" s="3" t="s">
        <x:v>101</x:v>
      </x:c>
      <x:c r="E20" s="3" t="s">
        <x:v>19</x:v>
      </x:c>
      <x:c r="F20" s="3" t="s">
        <x:v>47</x:v>
      </x:c>
      <x:c r="G20" s="3" t="s">
        <x:v>102</x:v>
      </x:c>
      <x:c r="H20" s="3" t="s">
        <x:v>103</x:v>
      </x:c>
      <x:c r="I20" s="3">
        <x:v>1950</x:v>
      </x:c>
      <x:c r="J20" s="3">
        <x:v>2300</x:v>
      </x:c>
      <x:c r="K20" s="10" t="s">
        <x:v>23</x:v>
      </x:c>
      <x:c r="L20" s="8">
        <x:v>1</x:v>
      </x:c>
      <x:c r="O20" s="25" t="s">
        <x:v>104</x:v>
      </x:c>
      <x:c r="P20" s="3">
        <x:v>5</x:v>
      </x:c>
      <x:c r="Q20" s="56" t="n">
        <x:f>IF(O20="","",O20*10)</x:f>
        <x:v>360</x:v>
      </x:c>
      <x:c r="R20" s="56" t="n">
        <x:f>IF(P20="","",P20*10)</x:f>
        <x:v>50</x:v>
      </x:c>
      <x:c r="S20" s="56" t="n">
        <x:f>IF(OR(Q20="",R20=""),"",Q20+R20)</x:f>
        <x:v>410</x:v>
      </x:c>
      <x:c r="T20" s="57" t="n">
        <x:v>24.29</x:v>
      </x:c>
      <x:c r="U20" s="57" t="n">
        <x:f>ROUND(T20*10,2)</x:f>
        <x:v>242.9</x:v>
      </x:c>
      <x:c r="V20" s="58" t="str">
        <x:v>B0DW8L4YLM</x:v>
      </x:c>
      <x:c r="W20" s="59" t="str">
        <x:v>https://www.amazon.ca/dp/B0DW8L4YLM</x:v>
      </x:c>
      <x:c r="X20" s="55" t="n">
        <x:v>46273</x:v>
      </x:c>
    </x:row>
    <x:row r="21" s="1" customFormat="1" customHeight="1">
      <x:c r="A21" s="3"/>
      <x:c r="B21" s="9" t="e">
        <x:f>_xlfn.DISPIMG("ID_638573B52A1C4D288AF369E997EB90FC",1)</x:f>
        <x:v>#NAME?</x:v>
      </x:c>
      <x:c r="C21" s="13"/>
      <x:c r="D21" s="3" t="s">
        <x:v>105</x:v>
      </x:c>
      <x:c r="E21" s="3" t="s">
        <x:v>19</x:v>
      </x:c>
      <x:c r="F21" s="3" t="s">
        <x:v>47</x:v>
      </x:c>
      <x:c r="G21" s="3"/>
      <x:c r="H21" s="3"/>
      <x:c r="I21" s="3">
        <x:v>250</x:v>
      </x:c>
      <x:c r="J21" s="3"/>
      <x:c r="K21" s="10" t="s">
        <x:v>23</x:v>
      </x:c>
      <x:c r="L21" s="8">
        <x:v>1</x:v>
      </x:c>
      <x:c r="M21" s="3"/>
      <x:c r="N21" s="3"/>
      <x:c r="O21" s="25" t="s">
        <x:v>106</x:v>
      </x:c>
      <x:c r="P21" s="8">
        <x:v>5</x:v>
      </x:c>
      <x:c r="Q21" s="48" t="n">
        <x:f>IF(O21="","",O21*10)</x:f>
        <x:v>70</x:v>
      </x:c>
      <x:c r="R21" s="48" t="n">
        <x:f>IF(P21="","",P21*10)</x:f>
        <x:v>50</x:v>
      </x:c>
      <x:c r="S21" s="48" t="n">
        <x:f>IF(OR(Q21="",R21=""),"",Q21+R21)</x:f>
        <x:v>120</x:v>
      </x:c>
      <x:c r="T21" s="49" t="n">
        <x:v>24.29</x:v>
      </x:c>
      <x:c r="U21" s="49" t="n">
        <x:f>ROUND(T21*10,2)</x:f>
        <x:v>242.9</x:v>
      </x:c>
      <x:c r="V21" s="50" t="str">
        <x:v>B0DW8L4YLM</x:v>
      </x:c>
      <x:c r="W21" s="50" t="str">
        <x:v>https://www.amazon.ca/dp/B0DW8L4YLM</x:v>
      </x:c>
      <x:c r="X21" s="51" t="n">
        <x:v>46273</x:v>
      </x:c>
      <x:c r="Y21" s="6"/>
      <x:c r="Z21" s="6"/>
      <x:c r="AA21" s="6"/>
      <x:c r="AB21" s="6"/>
      <x:c r="AC21" s="6"/>
      <x:c r="AD21" s="6"/>
    </x:row>
    <x:row r="22" s="4" customFormat="1" customHeight="1">
      <x:c r="A22" s="14" t="s">
        <x:v>107</x:v>
      </x:c>
      <x:c r="B22" s="15" t="e">
        <x:f>_xlfn.DISPIMG("ID_B696CF8A34944CC08DE9EF0187CAD453",1)</x:f>
        <x:v>#NAME?</x:v>
      </x:c>
      <x:c r="C22" s="16">
        <x:v>575</x:v>
      </x:c>
      <x:c r="D22" s="15"/>
      <x:c r="E22" s="17" t="s">
        <x:v>19</x:v>
      </x:c>
      <x:c r="F22" s="18" t="s">
        <x:v>47</x:v>
      </x:c>
      <x:c r="G22" s="17" t="s">
        <x:v>108</x:v>
      </x:c>
      <x:c r="H22" s="14" t="s">
        <x:v>109</x:v>
      </x:c>
      <x:c r="I22" s="17">
        <x:v>2980</x:v>
      </x:c>
      <x:c r="J22" s="15" t="n">
        <x:f>I22+100</x:f>
        <x:v>3080</x:v>
      </x:c>
      <x:c r="K22" s="10" t="s">
        <x:v>23</x:v>
      </x:c>
      <x:c r="L22" s="8">
        <x:v>1</x:v>
      </x:c>
      <x:c r="M22" s="14" t="s">
        <x:v>109</x:v>
      </x:c>
      <x:c r="N22" s="15" t="n">
        <x:f t="shared" ref="N22:N25" si="0">(J22*L22+300)/1000</x:f>
        <x:v>3.38</x:v>
      </x:c>
      <x:c r="O22" s="24" t="s">
        <x:v>110</x:v>
      </x:c>
      <x:c r="P22" s="9">
        <x:v>10</x:v>
      </x:c>
      <x:c r="Q22" s="56" t="n">
        <x:f>IF(O22="","",O22*10)</x:f>
        <x:v>470</x:v>
      </x:c>
      <x:c r="R22" s="56" t="n">
        <x:f>IF(P22="","",P22*10)</x:f>
        <x:v>100</x:v>
      </x:c>
      <x:c r="S22" s="56" t="n">
        <x:f>IF(OR(Q22="",R22=""),"",Q22+R22)</x:f>
        <x:v>570</x:v>
      </x:c>
      <x:c r="T22" s="57" t="n">
        <x:v>24.29</x:v>
      </x:c>
      <x:c r="U22" s="57" t="n">
        <x:f>ROUND(T22*10,2)</x:f>
        <x:v>242.9</x:v>
      </x:c>
      <x:c r="V22" s="58" t="str">
        <x:v>B0DW8L4YLM</x:v>
      </x:c>
      <x:c r="W22" s="59" t="str">
        <x:v>https://www.amazon.ca/dp/B0DW8L4YLM</x:v>
      </x:c>
      <x:c r="X22" s="55" t="n">
        <x:v>46273</x:v>
      </x:c>
    </x:row>
    <x:row r="23" s="2" customFormat="1" customHeight="1">
      <x:c r="A23" s="10" t="s">
        <x:v>111</x:v>
      </x:c>
      <x:c r="B23" s="9" t="e">
        <x:f>_xlfn.DISPIMG("ID_06A14A58DE7C4B52AD40A081A5ADD3E8",1)</x:f>
        <x:v>#NAME?</x:v>
      </x:c>
      <x:c r="C23" s="10" t="s">
        <x:v>112</x:v>
      </x:c>
      <x:c r="D23" s="8" t="s">
        <x:v>38</x:v>
      </x:c>
      <x:c r="E23" s="8" t="s">
        <x:v>19</x:v>
      </x:c>
      <x:c r="F23" s="10" t="s">
        <x:v>47</x:v>
      </x:c>
      <x:c r="G23" s="9" t="s">
        <x:v>113</x:v>
      </x:c>
      <x:c r="H23" s="11" t="s">
        <x:v>114</x:v>
      </x:c>
      <x:c r="I23" s="9">
        <x:v>2600</x:v>
      </x:c>
      <x:c r="J23" s="9">
        <x:v>2900</x:v>
      </x:c>
      <x:c r="K23" s="10" t="s">
        <x:v>23</x:v>
      </x:c>
      <x:c r="L23" s="8">
        <x:v>1</x:v>
      </x:c>
      <x:c r="M23" s="11" t="s">
        <x:v>114</x:v>
      </x:c>
      <x:c r="N23" s="9">
        <x:f t="shared" si="0"/>
        <x:v>3.2</x:v>
      </x:c>
      <x:c r="O23" s="12" t="s">
        <x:v>115</x:v>
      </x:c>
      <x:c r="P23" s="9">
        <x:v>10</x:v>
      </x:c>
      <x:c r="Q23" s="48" t="n">
        <x:f>IF(O23="","",O23*10)</x:f>
        <x:v>570</x:v>
      </x:c>
      <x:c r="R23" s="48" t="n">
        <x:f>IF(P23="","",P23*10)</x:f>
        <x:v>100</x:v>
      </x:c>
      <x:c r="S23" s="48" t="n">
        <x:f>IF(OR(Q23="",R23=""),"",Q23+R23)</x:f>
        <x:v>670</x:v>
      </x:c>
      <x:c r="T23" s="49" t="n">
        <x:v>24.29</x:v>
      </x:c>
      <x:c r="U23" s="49" t="n">
        <x:f>ROUND(T23*10,2)</x:f>
        <x:v>242.9</x:v>
      </x:c>
      <x:c r="V23" s="50" t="str">
        <x:v>B0DW8L4YLM</x:v>
      </x:c>
      <x:c r="W23" s="50" t="str">
        <x:v>https://www.amazon.ca/dp/B0DW8L4YLM</x:v>
      </x:c>
      <x:c r="X23" s="51" t="n">
        <x:v>46273</x:v>
      </x:c>
      <x:c r="Y23" s="4"/>
      <x:c r="Z23" s="4"/>
      <x:c r="AA23" s="4"/>
      <x:c r="AB23" s="4"/>
      <x:c r="AC23" s="4"/>
      <x:c r="AD23" s="4"/>
    </x:row>
    <x:row r="24" s="2" customFormat="1" customHeight="1">
      <x:c r="A24" s="12" t="s">
        <x:v>116</x:v>
      </x:c>
      <x:c r="B24" s="9" t="e">
        <x:f>_xlfn.DISPIMG("ID_941205B3CDBE4335952AF0C8A9DAF96A",1)</x:f>
        <x:v>#NAME?</x:v>
      </x:c>
      <x:c r="C24" s="10" t="s">
        <x:v>117</x:v>
      </x:c>
      <x:c r="D24" s="10" t="s">
        <x:v>118</x:v>
      </x:c>
      <x:c r="E24" s="8" t="s">
        <x:v>19</x:v>
      </x:c>
      <x:c r="F24" s="10" t="s">
        <x:v>119</x:v>
      </x:c>
      <x:c r="G24" s="9" t="s">
        <x:v>120</x:v>
      </x:c>
      <x:c r="H24" s="10" t="s">
        <x:v>121</x:v>
      </x:c>
      <x:c r="I24" s="11">
        <x:v>550</x:v>
      </x:c>
      <x:c r="J24" s="9">
        <x:v>650</x:v>
      </x:c>
      <x:c r="K24" s="10" t="s">
        <x:v>23</x:v>
      </x:c>
      <x:c r="L24" s="8">
        <x:v>1</x:v>
      </x:c>
      <x:c r="M24" s="24" t="s">
        <x:v>122</x:v>
      </x:c>
      <x:c r="N24" s="9">
        <x:f t="shared" si="0"/>
        <x:v>0.95</x:v>
      </x:c>
      <x:c r="O24" s="24" t="s">
        <x:v>123</x:v>
      </x:c>
      <x:c r="P24" s="9" t="n">
        <x:f>_xlfn.IFS(J24&lt;480,"3",J24&lt;980,"3",J24&lt;1480,"3.5",J24&lt;1980,"4",J24&lt;1980,"4.5",J24&lt;2950,"5")</x:f>
        <x:v>3</x:v>
      </x:c>
      <x:c r="Q24" s="48" t="n">
        <x:f>IF(O24="","",O24*10)</x:f>
        <x:v>130</x:v>
      </x:c>
      <x:c r="R24" s="48" t="n">
        <x:f>IF(P24="","",P24*10)</x:f>
        <x:v>30</x:v>
      </x:c>
      <x:c r="S24" s="48" t="n">
        <x:f>IF(OR(Q24="",R24=""),"",Q24+R24)</x:f>
        <x:v>160</x:v>
      </x:c>
      <x:c r="T24" s="49" t="n">
        <x:v>24.29</x:v>
      </x:c>
      <x:c r="U24" s="49" t="n">
        <x:f>ROUND(T24*10,2)</x:f>
        <x:v>242.9</x:v>
      </x:c>
      <x:c r="V24" s="50" t="str">
        <x:v>B0DW8L4YLM</x:v>
      </x:c>
      <x:c r="W24" s="50" t="str">
        <x:v>https://www.amazon.ca/dp/B0DW8L4YLM</x:v>
      </x:c>
      <x:c r="X24" s="51" t="n">
        <x:v>46273</x:v>
      </x:c>
      <x:c r="Y24" s="4"/>
      <x:c r="Z24" s="4"/>
      <x:c r="AA24" s="4"/>
      <x:c r="AB24" s="4"/>
      <x:c r="AC24" s="4"/>
      <x:c r="AD24" s="4"/>
    </x:row>
    <x:row r="25" s="2" customFormat="1" customHeight="1">
      <x:c r="A25" s="12" t="s">
        <x:v>124</x:v>
      </x:c>
      <x:c r="B25" s="9" t="e">
        <x:f>_xlfn.DISPIMG("ID_444A300235704455BE1A45C90CF5CDF0",1)</x:f>
        <x:v>#NAME?</x:v>
      </x:c>
      <x:c r="C25" s="10" t="s">
        <x:v>125</x:v>
      </x:c>
      <x:c r="D25" s="10" t="s">
        <x:v>126</x:v>
      </x:c>
      <x:c r="E25" s="8" t="s">
        <x:v>19</x:v>
      </x:c>
      <x:c r="F25" s="10" t="s">
        <x:v>119</x:v>
      </x:c>
      <x:c r="G25" s="9" t="s">
        <x:v>120</x:v>
      </x:c>
      <x:c r="H25" s="10" t="s">
        <x:v>121</x:v>
      </x:c>
      <x:c r="I25" s="11">
        <x:v>600</x:v>
      </x:c>
      <x:c r="J25" s="9">
        <x:v>700</x:v>
      </x:c>
      <x:c r="K25" s="10" t="s">
        <x:v>23</x:v>
      </x:c>
      <x:c r="L25" s="8">
        <x:v>1</x:v>
      </x:c>
      <x:c r="M25" s="24" t="s">
        <x:v>122</x:v>
      </x:c>
      <x:c r="N25" s="9">
        <x:f t="shared" si="0"/>
        <x:v>1</x:v>
      </x:c>
      <x:c r="O25" s="24" t="s">
        <x:v>127</x:v>
      </x:c>
      <x:c r="P25" s="9" t="n">
        <x:f>_xlfn.IFS(J25&lt;480,"3",J25&lt;980,"3",J25&lt;1480,"3.5",J25&lt;1980,"4",J25&lt;1980,"4.5",J25&lt;2950,"5")</x:f>
        <x:v>3</x:v>
      </x:c>
      <x:c r="Q25" s="48" t="n">
        <x:f>IF(O25="","",O25*10)</x:f>
        <x:v>136</x:v>
      </x:c>
      <x:c r="R25" s="48" t="n">
        <x:f>IF(P25="","",P25*10)</x:f>
        <x:v>30</x:v>
      </x:c>
      <x:c r="S25" s="48" t="n">
        <x:f>IF(OR(Q25="",R25=""),"",Q25+R25)</x:f>
        <x:v>166</x:v>
      </x:c>
      <x:c r="T25" s="49" t="n">
        <x:v>24.29</x:v>
      </x:c>
      <x:c r="U25" s="49" t="n">
        <x:f>ROUND(T25*10,2)</x:f>
        <x:v>242.9</x:v>
      </x:c>
      <x:c r="V25" s="50" t="str">
        <x:v>B0DW8L4YLM</x:v>
      </x:c>
      <x:c r="W25" s="50" t="str">
        <x:v>https://www.amazon.ca/dp/B0DW8L4YLM</x:v>
      </x:c>
      <x:c r="X25" s="51" t="n">
        <x:v>46273</x:v>
      </x:c>
      <x:c r="Y25" s="4"/>
      <x:c r="Z25" s="4"/>
      <x:c r="AA25" s="4"/>
      <x:c r="AB25" s="4"/>
      <x:c r="AC25" s="4"/>
      <x:c r="AD25" s="4"/>
    </x:row>
    <x:row r="26" s="2" customFormat="1" customHeight="1">
      <x:c r="A26" s="8" t="s">
        <x:v>128</x:v>
      </x:c>
      <x:c r="B26" s="9" t="e">
        <x:f>_xlfn.DISPIMG("ID_8EEB89D9BE244634AE517FE87E7216AA",1)</x:f>
        <x:v>#NAME?</x:v>
      </x:c>
      <x:c r="C26" s="10">
        <x:v>767</x:v>
      </x:c>
      <x:c r="D26" s="8" t="s">
        <x:v>18</x:v>
      </x:c>
      <x:c r="E26" s="8" t="s">
        <x:v>19</x:v>
      </x:c>
      <x:c r="F26" s="8" t="s">
        <x:v>47</x:v>
      </x:c>
      <x:c r="G26" s="8" t="s">
        <x:v>128</x:v>
      </x:c>
      <x:c r="H26" s="8" t="s">
        <x:v>129</x:v>
      </x:c>
      <x:c r="I26" s="8">
        <x:v>900</x:v>
      </x:c>
      <x:c r="J26" s="8">
        <x:v>1060</x:v>
      </x:c>
      <x:c r="K26" s="10" t="s">
        <x:v>23</x:v>
      </x:c>
      <x:c r="L26" s="8">
        <x:v>1</x:v>
      </x:c>
      <x:c r="M26" s="8" t="s">
        <x:v>129</x:v>
      </x:c>
      <x:c r="N26" s="8">
        <x:v>1.06</x:v>
      </x:c>
      <x:c r="O26" s="21">
        <x:v>17.5</x:v>
      </x:c>
      <x:c r="P26" s="9">
        <x:v>4</x:v>
      </x:c>
      <x:c r="Q26" s="48" t="n">
        <x:f>IF(O26="","",O26*10)</x:f>
        <x:v>175</x:v>
      </x:c>
      <x:c r="R26" s="48" t="n">
        <x:f>IF(P26="","",P26*10)</x:f>
        <x:v>40</x:v>
      </x:c>
      <x:c r="S26" s="48" t="n">
        <x:f>IF(OR(Q26="",R26=""),"",Q26+R26)</x:f>
        <x:v>215</x:v>
      </x:c>
      <x:c r="T26" s="49" t="n">
        <x:v>24.29</x:v>
      </x:c>
      <x:c r="U26" s="49" t="n">
        <x:f>ROUND(T26*10,2)</x:f>
        <x:v>242.9</x:v>
      </x:c>
      <x:c r="V26" s="50" t="str">
        <x:v>B0DW8L4YLM</x:v>
      </x:c>
      <x:c r="W26" s="50" t="str">
        <x:v>https://www.amazon.ca/dp/B0DW8L4YLM</x:v>
      </x:c>
      <x:c r="X26" s="51" t="n">
        <x:v>46273</x:v>
      </x:c>
      <x:c r="Y26" s="4"/>
      <x:c r="Z26" s="4"/>
      <x:c r="AA26" s="4"/>
      <x:c r="AB26" s="4"/>
      <x:c r="AC26" s="4"/>
      <x:c r="AD26" s="4"/>
    </x:row>
    <x:row r="27" s="2" customFormat="1" customHeight="1">
      <x:c r="A27" s="8"/>
      <x:c r="B27" s="9" t="e">
        <x:f>_xlfn.DISPIMG("ID_5A121A3D69654889998289128164181F",1)</x:f>
        <x:v>#NAME?</x:v>
      </x:c>
      <x:c r="C27" s="10" t="s">
        <x:v>130</x:v>
      </x:c>
      <x:c r="D27" s="8" t="s">
        <x:v>131</x:v>
      </x:c>
      <x:c r="E27" s="8" t="s">
        <x:v>19</x:v>
      </x:c>
      <x:c r="F27" s="8" t="s">
        <x:v>47</x:v>
      </x:c>
      <x:c r="G27" s="8" t="s">
        <x:v>128</x:v>
      </x:c>
      <x:c r="H27" s="10" t="s">
        <x:v>132</x:v>
      </x:c>
      <x:c r="I27" s="8">
        <x:v>9000</x:v>
      </x:c>
      <x:c r="J27" s="8">
        <x:v>9600</x:v>
      </x:c>
      <x:c r="K27" s="10" t="s">
        <x:v>23</x:v>
      </x:c>
      <x:c r="L27" s="8">
        <x:v>1</x:v>
      </x:c>
      <x:c r="M27" s="8" t="s">
        <x:v>133</x:v>
      </x:c>
      <x:c r="N27" s="8">
        <x:v>9.6</x:v>
      </x:c>
      <x:c r="O27" s="21">
        <x:v>18</x:v>
      </x:c>
      <x:c r="P27" s="10">
        <x:v>4</x:v>
      </x:c>
      <x:c r="Q27" s="48" t="n">
        <x:f>IF(O27="","",O27*10)</x:f>
        <x:v>180</x:v>
      </x:c>
      <x:c r="R27" s="48" t="n">
        <x:f>IF(P27="","",P27*10)</x:f>
        <x:v>40</x:v>
      </x:c>
      <x:c r="S27" s="48" t="n">
        <x:f>IF(OR(Q27="",R27=""),"",Q27+R27)</x:f>
        <x:v>220</x:v>
      </x:c>
      <x:c r="T27" s="49" t="n">
        <x:v>24.29</x:v>
      </x:c>
      <x:c r="U27" s="49" t="n">
        <x:f>ROUND(T27*10,2)</x:f>
        <x:v>242.9</x:v>
      </x:c>
      <x:c r="V27" s="50" t="str">
        <x:v>B0DW8L4YLM</x:v>
      </x:c>
      <x:c r="W27" s="50" t="str">
        <x:v>https://www.amazon.ca/dp/B0DW8L4YLM</x:v>
      </x:c>
      <x:c r="X27" s="51" t="n">
        <x:v>46273</x:v>
      </x:c>
      <x:c r="Y27" s="4"/>
      <x:c r="Z27" s="4"/>
      <x:c r="AA27" s="4"/>
      <x:c r="AB27" s="4"/>
      <x:c r="AC27" s="4"/>
      <x:c r="AD27" s="4"/>
    </x:row>
    <x:row r="28" s="2" customFormat="1" customHeight="1">
      <x:c r="A28" s="8"/>
      <x:c r="B28" s="9" t="e">
        <x:f>_xlfn.DISPIMG("ID_9D4B7C6D22754828AF53B2B7D33D1314",1)</x:f>
        <x:v>#NAME?</x:v>
      </x:c>
      <x:c r="C28" s="10" t="s">
        <x:v>134</x:v>
      </x:c>
      <x:c r="D28" s="8" t="s">
        <x:v>135</x:v>
      </x:c>
      <x:c r="E28" s="8" t="s">
        <x:v>19</x:v>
      </x:c>
      <x:c r="F28" s="8" t="s">
        <x:v>47</x:v>
      </x:c>
      <x:c r="G28" s="8" t="s">
        <x:v>128</x:v>
      </x:c>
      <x:c r="H28" s="10" t="s">
        <x:v>132</x:v>
      </x:c>
      <x:c r="I28" s="8">
        <x:v>9000</x:v>
      </x:c>
      <x:c r="J28" s="8">
        <x:v>9600</x:v>
      </x:c>
      <x:c r="K28" s="10" t="s">
        <x:v>23</x:v>
      </x:c>
      <x:c r="L28" s="8">
        <x:v>1</x:v>
      </x:c>
      <x:c r="M28" s="8" t="s">
        <x:v>133</x:v>
      </x:c>
      <x:c r="N28" s="8">
        <x:v>9.6</x:v>
      </x:c>
      <x:c r="O28" s="21">
        <x:v>18.5</x:v>
      </x:c>
      <x:c r="P28" s="10">
        <x:v>4</x:v>
      </x:c>
      <x:c r="Q28" s="48" t="n">
        <x:f>IF(O28="","",O28*10)</x:f>
        <x:v>185</x:v>
      </x:c>
      <x:c r="R28" s="48" t="n">
        <x:f>IF(P28="","",P28*10)</x:f>
        <x:v>40</x:v>
      </x:c>
      <x:c r="S28" s="48" t="n">
        <x:f>IF(OR(Q28="",R28=""),"",Q28+R28)</x:f>
        <x:v>225</x:v>
      </x:c>
      <x:c r="T28" s="49" t="n">
        <x:v>24.29</x:v>
      </x:c>
      <x:c r="U28" s="49" t="n">
        <x:f>ROUND(T28*10,2)</x:f>
        <x:v>242.9</x:v>
      </x:c>
      <x:c r="V28" s="50" t="str">
        <x:v>B0DW8L4YLM</x:v>
      </x:c>
      <x:c r="W28" s="50" t="str">
        <x:v>https://www.amazon.ca/dp/B0DW8L4YLM</x:v>
      </x:c>
      <x:c r="X28" s="51" t="n">
        <x:v>46273</x:v>
      </x:c>
      <x:c r="Y28" s="4"/>
      <x:c r="Z28" s="4"/>
      <x:c r="AA28" s="4"/>
      <x:c r="AB28" s="4"/>
      <x:c r="AC28" s="4"/>
      <x:c r="AD28" s="4"/>
    </x:row>
    <x:row r="29" s="2" customFormat="1" customHeight="1">
      <x:c r="A29" s="8" t="s">
        <x:v>136</x:v>
      </x:c>
      <x:c r="B29" s="9" t="e">
        <x:f>_xlfn.DISPIMG("ID_1F068F9B5EBD4BF8846DDFA44404257F",1)</x:f>
        <x:v>#NAME?</x:v>
      </x:c>
      <x:c r="C29" s="9">
        <x:v>889</x:v>
      </x:c>
      <x:c r="D29" s="8" t="s">
        <x:v>38</x:v>
      </x:c>
      <x:c r="E29" s="8" t="s">
        <x:v>19</x:v>
      </x:c>
      <x:c r="F29" s="8" t="s">
        <x:v>137</x:v>
      </x:c>
      <x:c r="G29" s="8" t="s">
        <x:v>138</x:v>
      </x:c>
      <x:c r="H29" s="8" t="s">
        <x:v>139</x:v>
      </x:c>
      <x:c r="I29" s="8">
        <x:v>920</x:v>
      </x:c>
      <x:c r="J29" s="8">
        <x:v>1080</x:v>
      </x:c>
      <x:c r="K29" s="10" t="s">
        <x:v>23</x:v>
      </x:c>
      <x:c r="L29" s="8">
        <x:v>1</x:v>
      </x:c>
      <x:c r="M29" s="8" t="s">
        <x:v>139</x:v>
      </x:c>
      <x:c r="N29" s="8">
        <x:v>1.08</x:v>
      </x:c>
      <x:c r="O29" s="21">
        <x:v>18</x:v>
      </x:c>
      <x:c r="P29" s="9" t="n">
        <x:f>_xlfn.IFS(J29&lt;480,"3",J29&lt;980,"3",J29&lt;1480,"3.5",J29&lt;1980,"4",J29&lt;1980,"4.5",J29&lt;2950,"5")</x:f>
        <x:v>3.5</x:v>
      </x:c>
      <x:c r="Q29" s="48" t="n">
        <x:f>IF(O29="","",O29*10)</x:f>
        <x:v>180</x:v>
      </x:c>
      <x:c r="R29" s="48" t="n">
        <x:f>IF(P29="","",P29*10)</x:f>
        <x:v>35</x:v>
      </x:c>
      <x:c r="S29" s="48" t="n">
        <x:f>IF(OR(Q29="",R29=""),"",Q29+R29)</x:f>
        <x:v>215</x:v>
      </x:c>
      <x:c r="T29" s="49" t="n">
        <x:v>24.29</x:v>
      </x:c>
      <x:c r="U29" s="49" t="n">
        <x:f>ROUND(T29*10,2)</x:f>
        <x:v>242.9</x:v>
      </x:c>
      <x:c r="V29" s="50" t="str">
        <x:v>B0DW8L4YLM</x:v>
      </x:c>
      <x:c r="W29" s="50" t="str">
        <x:v>https://www.amazon.ca/dp/B0DW8L4YLM</x:v>
      </x:c>
      <x:c r="X29" s="51" t="n">
        <x:v>46273</x:v>
      </x:c>
      <x:c r="Y29" s="4"/>
      <x:c r="Z29" s="4"/>
      <x:c r="AA29" s="4"/>
      <x:c r="AB29" s="4"/>
      <x:c r="AC29" s="4"/>
      <x:c r="AD29" s="4"/>
    </x:row>
    <x:row r="30" s="2" customFormat="1" customHeight="1">
      <x:c r="A30" s="8" t="s">
        <x:v>140</x:v>
      </x:c>
      <x:c r="B30" s="9" t="e">
        <x:f>_xlfn.DISPIMG("ID_064D0A2CE5974F86962CBB23CEEBE6EE",1)</x:f>
        <x:v>#NAME?</x:v>
      </x:c>
      <x:c r="C30" s="10">
        <x:v>9006</x:v>
      </x:c>
      <x:c r="D30" s="10" t="s">
        <x:v>141</x:v>
      </x:c>
      <x:c r="E30" s="8" t="s">
        <x:v>142</x:v>
      </x:c>
      <x:c r="F30" s="8" t="s">
        <x:v>143</x:v>
      </x:c>
      <x:c r="G30" s="8" t="s">
        <x:v>144</x:v>
      </x:c>
      <x:c r="H30" s="8" t="s">
        <x:v>145</x:v>
      </x:c>
      <x:c r="I30" s="8">
        <x:v>520</x:v>
      </x:c>
      <x:c r="J30" s="8">
        <x:v>550</x:v>
      </x:c>
      <x:c r="K30" s="10" t="s">
        <x:v>23</x:v>
      </x:c>
      <x:c r="L30" s="8">
        <x:v>1</x:v>
      </x:c>
      <x:c r="M30" s="8" t="s">
        <x:v>145</x:v>
      </x:c>
      <x:c r="N30" s="8">
        <x:v>0.55</x:v>
      </x:c>
      <x:c r="O30" s="12" t="s">
        <x:v>146</x:v>
      </x:c>
      <x:c r="P30" s="9" t="n">
        <x:f>_xlfn.IFS(J30&lt;480,"3",J30&lt;980,"3",J30&lt;1480,"3.5",J30&lt;1980,"4",J30&lt;1980,"4.5",J30&lt;2950,"5")</x:f>
        <x:v>3</x:v>
      </x:c>
      <x:c r="Q30" s="48" t="n">
        <x:f>IF(O30="","",O30*10)</x:f>
        <x:v>140</x:v>
      </x:c>
      <x:c r="R30" s="48" t="n">
        <x:f>IF(P30="","",P30*10)</x:f>
        <x:v>30</x:v>
      </x:c>
      <x:c r="S30" s="48" t="n">
        <x:f>IF(OR(Q30="",R30=""),"",Q30+R30)</x:f>
        <x:v>170</x:v>
      </x:c>
      <x:c r="T30" s="49" t="n">
        <x:v>24.29</x:v>
      </x:c>
      <x:c r="U30" s="49" t="n">
        <x:f>ROUND(T30*10,2)</x:f>
        <x:v>242.9</x:v>
      </x:c>
      <x:c r="V30" s="50" t="str">
        <x:v>B0DW8L4YLM</x:v>
      </x:c>
      <x:c r="W30" s="50" t="str">
        <x:v>https://www.amazon.ca/dp/B0DW8L4YLM</x:v>
      </x:c>
      <x:c r="X30" s="51" t="n">
        <x:v>46273</x:v>
      </x:c>
      <x:c r="Y30" s="4"/>
      <x:c r="Z30" s="4"/>
      <x:c r="AA30" s="4"/>
      <x:c r="AB30" s="4"/>
      <x:c r="AC30" s="4"/>
      <x:c r="AD30" s="4"/>
    </x:row>
    <x:row r="31" s="2" customFormat="1" customHeight="1">
      <x:c r="A31" s="8" t="s">
        <x:v>147</x:v>
      </x:c>
      <x:c r="B31" s="9" t="e">
        <x:f>_xlfn.DISPIMG("ID_94C9C955BDAB4D63BD4700382C344A4D",1)</x:f>
        <x:v>#NAME?</x:v>
      </x:c>
      <x:c r="C31" s="10"/>
      <x:c r="D31" s="10" t="s">
        <x:v>34</x:v>
      </x:c>
      <x:c r="E31" s="8" t="s">
        <x:v>142</x:v>
      </x:c>
      <x:c r="F31" s="8" t="s">
        <x:v>143</x:v>
      </x:c>
      <x:c r="G31" s="8" t="s">
        <x:v>148</x:v>
      </x:c>
      <x:c r="H31" s="8" t="s">
        <x:v>149</x:v>
      </x:c>
      <x:c r="I31" s="8">
        <x:v>700</x:v>
      </x:c>
      <x:c r="J31" s="8">
        <x:v>750</x:v>
      </x:c>
      <x:c r="K31" s="10" t="s">
        <x:v>23</x:v>
      </x:c>
      <x:c r="L31" s="8">
        <x:v>1</x:v>
      </x:c>
      <x:c r="M31" s="8" t="s">
        <x:v>149</x:v>
      </x:c>
      <x:c r="N31" s="8">
        <x:v>0.75</x:v>
      </x:c>
      <x:c r="O31" s="12" t="s">
        <x:v>150</x:v>
      </x:c>
      <x:c r="P31" s="9" t="n">
        <x:f>_xlfn.IFS(J31&lt;480,"3",J31&lt;980,"3",J31&lt;1480,"3.5",J31&lt;1980,"4",J31&lt;1980,"4.5",J31&lt;2950,"5")</x:f>
        <x:v>3</x:v>
      </x:c>
      <x:c r="Q31" s="48" t="n">
        <x:f>IF(O31="","",O31*10)</x:f>
        <x:v>170</x:v>
      </x:c>
      <x:c r="R31" s="48" t="n">
        <x:f>IF(P31="","",P31*10)</x:f>
        <x:v>30</x:v>
      </x:c>
      <x:c r="S31" s="48" t="n">
        <x:f>IF(OR(Q31="",R31=""),"",Q31+R31)</x:f>
        <x:v>200</x:v>
      </x:c>
      <x:c r="T31" s="49" t="n">
        <x:v>24.29</x:v>
      </x:c>
      <x:c r="U31" s="49" t="n">
        <x:f>ROUND(T31*10,2)</x:f>
        <x:v>242.9</x:v>
      </x:c>
      <x:c r="V31" s="50" t="str">
        <x:v>B0DW8L4YLM</x:v>
      </x:c>
      <x:c r="W31" s="50" t="str">
        <x:v>https://www.amazon.ca/dp/B0DW8L4YLM</x:v>
      </x:c>
      <x:c r="X31" s="51" t="n">
        <x:v>46273</x:v>
      </x:c>
      <x:c r="Y31" s="4"/>
      <x:c r="Z31" s="4"/>
      <x:c r="AA31" s="4"/>
      <x:c r="AB31" s="4"/>
      <x:c r="AC31" s="4"/>
      <x:c r="AD31" s="4"/>
    </x:row>
    <x:row r="32" s="2" customFormat="1" customHeight="1">
      <x:c r="A32" s="8" t="s">
        <x:v>151</x:v>
      </x:c>
      <x:c r="B32" s="9" t="e">
        <x:f t="shared" ref="B32:B34" si="1">_xlfn.DISPIMG("ID_BBA8076E89B34D4FB5FAB0F970FAAD70",1)</x:f>
        <x:v>#NAME?</x:v>
      </x:c>
      <x:c r="C32" s="10"/>
      <x:c r="D32" s="8" t="s">
        <x:v>152</x:v>
      </x:c>
      <x:c r="E32" s="10" t="s">
        <x:v>153</x:v>
      </x:c>
      <x:c r="F32" s="8" t="s">
        <x:v>154</x:v>
      </x:c>
      <x:c r="G32" s="8" t="s">
        <x:v>155</x:v>
      </x:c>
      <x:c r="H32" s="8" t="s">
        <x:v>156</x:v>
      </x:c>
      <x:c r="I32" s="8">
        <x:v>350</x:v>
      </x:c>
      <x:c r="J32" s="8">
        <x:v>600</x:v>
      </x:c>
      <x:c r="K32" s="10" t="s">
        <x:v>23</x:v>
      </x:c>
      <x:c r="L32" s="8">
        <x:v>1</x:v>
      </x:c>
      <x:c r="M32" s="8" t="s">
        <x:v>156</x:v>
      </x:c>
      <x:c r="N32" s="9">
        <x:v>0.6</x:v>
      </x:c>
      <x:c r="O32" s="21">
        <x:v>9.5</x:v>
      </x:c>
      <x:c r="P32" s="9">
        <x:v>3.5</x:v>
      </x:c>
      <x:c r="Q32" s="48" t="n">
        <x:f>IF(O32="","",O32*10)</x:f>
        <x:v>95</x:v>
      </x:c>
      <x:c r="R32" s="48" t="n">
        <x:f>IF(P32="","",P32*10)</x:f>
        <x:v>35</x:v>
      </x:c>
      <x:c r="S32" s="48" t="n">
        <x:f>IF(OR(Q32="",R32=""),"",Q32+R32)</x:f>
        <x:v>130</x:v>
      </x:c>
      <x:c r="T32" s="49" t="n">
        <x:v>24.29</x:v>
      </x:c>
      <x:c r="U32" s="49" t="n">
        <x:f>ROUND(T32*10,2)</x:f>
        <x:v>242.9</x:v>
      </x:c>
      <x:c r="V32" s="50" t="str">
        <x:v>B0DW8L4YLM</x:v>
      </x:c>
      <x:c r="W32" s="50" t="str">
        <x:v>https://www.amazon.ca/dp/B0DW8L4YLM</x:v>
      </x:c>
      <x:c r="X32" s="51" t="n">
        <x:v>46273</x:v>
      </x:c>
      <x:c r="Y32" s="4"/>
      <x:c r="Z32" s="4"/>
      <x:c r="AA32" s="4"/>
      <x:c r="AB32" s="4"/>
      <x:c r="AC32" s="4"/>
      <x:c r="AD32" s="4"/>
    </x:row>
    <x:row r="33" s="2" customFormat="1" customHeight="1">
      <x:c r="A33" s="8" t="s">
        <x:v>151</x:v>
      </x:c>
      <x:c r="B33" s="9" t="str">
        <x:f t="shared" si="1"/>
        <x:v>=DISPIMG("ID_BBA8076E89B34D4FB5FAB0F970FAAD70",1)</x:v>
      </x:c>
      <x:c r="C33" s="10"/>
      <x:c r="D33" s="8" t="s">
        <x:v>157</x:v>
      </x:c>
      <x:c r="E33" s="10" t="s">
        <x:v>153</x:v>
      </x:c>
      <x:c r="F33" s="8"/>
      <x:c r="G33" s="8" t="s">
        <x:v>158</x:v>
      </x:c>
      <x:c r="H33" s="8" t="s">
        <x:v>159</x:v>
      </x:c>
      <x:c r="I33" s="8">
        <x:v>620</x:v>
      </x:c>
      <x:c r="J33" s="8">
        <x:v>870</x:v>
      </x:c>
      <x:c r="K33" s="10" t="s">
        <x:v>23</x:v>
      </x:c>
      <x:c r="L33" s="8">
        <x:v>1</x:v>
      </x:c>
      <x:c r="M33" s="8" t="s">
        <x:v>159</x:v>
      </x:c>
      <x:c r="N33" s="9">
        <x:v>0.87</x:v>
      </x:c>
      <x:c r="O33" s="21">
        <x:v>14</x:v>
      </x:c>
      <x:c r="P33" s="9">
        <x:v>3.5</x:v>
      </x:c>
      <x:c r="Q33" s="48" t="n">
        <x:f>IF(O33="","",O33*10)</x:f>
        <x:v>140</x:v>
      </x:c>
      <x:c r="R33" s="48" t="n">
        <x:f>IF(P33="","",P33*10)</x:f>
        <x:v>35</x:v>
      </x:c>
      <x:c r="S33" s="48" t="n">
        <x:f>IF(OR(Q33="",R33=""),"",Q33+R33)</x:f>
        <x:v>175</x:v>
      </x:c>
      <x:c r="T33" s="49" t="n">
        <x:v>24.29</x:v>
      </x:c>
      <x:c r="U33" s="49" t="n">
        <x:f>ROUND(T33*10,2)</x:f>
        <x:v>242.9</x:v>
      </x:c>
      <x:c r="V33" s="50" t="str">
        <x:v>B0DW8L4YLM</x:v>
      </x:c>
      <x:c r="W33" s="50" t="str">
        <x:v>https://www.amazon.ca/dp/B0DW8L4YLM</x:v>
      </x:c>
      <x:c r="X33" s="51" t="n">
        <x:v>46273</x:v>
      </x:c>
      <x:c r="Y33" s="4"/>
      <x:c r="Z33" s="4"/>
      <x:c r="AA33" s="4"/>
      <x:c r="AB33" s="4"/>
      <x:c r="AC33" s="4"/>
      <x:c r="AD33" s="4"/>
    </x:row>
    <x:row r="34" s="2" customFormat="1" customHeight="1">
      <x:c r="A34" s="8" t="s">
        <x:v>151</x:v>
      </x:c>
      <x:c r="B34" s="9" t="str">
        <x:f t="shared" si="1"/>
        <x:v>=DISPIMG("ID_BBA8076E89B34D4FB5FAB0F970FAAD70",1)</x:v>
      </x:c>
      <x:c r="C34" s="10"/>
      <x:c r="D34" s="8" t="s">
        <x:v>160</x:v>
      </x:c>
      <x:c r="E34" s="10" t="s">
        <x:v>153</x:v>
      </x:c>
      <x:c r="F34" s="8"/>
      <x:c r="G34" s="8" t="s">
        <x:v>161</x:v>
      </x:c>
      <x:c r="H34" s="8" t="s">
        <x:v>162</x:v>
      </x:c>
      <x:c r="I34" s="8">
        <x:v>900</x:v>
      </x:c>
      <x:c r="J34" s="8">
        <x:v>1150</x:v>
      </x:c>
      <x:c r="K34" s="10" t="s">
        <x:v>23</x:v>
      </x:c>
      <x:c r="L34" s="8">
        <x:v>1</x:v>
      </x:c>
      <x:c r="M34" s="8" t="s">
        <x:v>162</x:v>
      </x:c>
      <x:c r="N34" s="9">
        <x:v>1.15</x:v>
      </x:c>
      <x:c r="O34" s="21">
        <x:v>18</x:v>
      </x:c>
      <x:c r="P34" s="9">
        <x:v>4</x:v>
      </x:c>
      <x:c r="Q34" s="48" t="n">
        <x:f>IF(O34="","",O34*10)</x:f>
        <x:v>180</x:v>
      </x:c>
      <x:c r="R34" s="48" t="n">
        <x:f>IF(P34="","",P34*10)</x:f>
        <x:v>40</x:v>
      </x:c>
      <x:c r="S34" s="48" t="n">
        <x:f>IF(OR(Q34="",R34=""),"",Q34+R34)</x:f>
        <x:v>220</x:v>
      </x:c>
      <x:c r="T34" s="49" t="n">
        <x:v>24.29</x:v>
      </x:c>
      <x:c r="U34" s="49" t="n">
        <x:f>ROUND(T34*10,2)</x:f>
        <x:v>242.9</x:v>
      </x:c>
      <x:c r="V34" s="50" t="str">
        <x:v>B0DW8L4YLM</x:v>
      </x:c>
      <x:c r="W34" s="50" t="str">
        <x:v>https://www.amazon.ca/dp/B0DW8L4YLM</x:v>
      </x:c>
      <x:c r="X34" s="51" t="n">
        <x:v>46273</x:v>
      </x:c>
      <x:c r="Y34" s="4"/>
      <x:c r="Z34" s="4"/>
      <x:c r="AA34" s="4"/>
      <x:c r="AB34" s="4"/>
      <x:c r="AC34" s="4"/>
      <x:c r="AD34" s="4"/>
    </x:row>
    <x:row r="35" s="2" customFormat="1" customHeight="1">
      <x:c r="A35" s="8" t="s">
        <x:v>163</x:v>
      </x:c>
      <x:c r="B35" s="9" t="e">
        <x:f>_xlfn.DISPIMG("ID_04800D76AAE9424A82D65ACCF9966B10",1)</x:f>
        <x:v>#NAME?</x:v>
      </x:c>
      <x:c r="C35" s="10"/>
      <x:c r="D35" s="8" t="s">
        <x:v>34</x:v>
      </x:c>
      <x:c r="E35" s="11" t="s">
        <x:v>164</x:v>
      </x:c>
      <x:c r="F35" s="8" t="s">
        <x:v>165</x:v>
      </x:c>
      <x:c r="G35" s="11" t="s">
        <x:v>166</x:v>
      </x:c>
      <x:c r="H35" s="11" t="s">
        <x:v>166</x:v>
      </x:c>
      <x:c r="I35" s="8">
        <x:v>1300</x:v>
      </x:c>
      <x:c r="J35" s="8" t="n">
        <x:f>I35+100</x:f>
        <x:v>1400</x:v>
      </x:c>
      <x:c r="K35" s="10" t="s">
        <x:v>23</x:v>
      </x:c>
      <x:c r="L35" s="8">
        <x:v>1</x:v>
      </x:c>
      <x:c r="M35" s="11" t="s">
        <x:v>166</x:v>
      </x:c>
      <x:c r="N35" s="8" t="n">
        <x:f>J35*L35/1000</x:f>
        <x:v>1.4</x:v>
      </x:c>
      <x:c r="O35" s="21">
        <x:v>22</x:v>
      </x:c>
      <x:c r="P35" s="10">
        <x:v>4</x:v>
      </x:c>
      <x:c r="Q35" s="48" t="n">
        <x:f>IF(O35="","",O35*10)</x:f>
        <x:v>220</x:v>
      </x:c>
      <x:c r="R35" s="48" t="n">
        <x:f>IF(P35="","",P35*10)</x:f>
        <x:v>40</x:v>
      </x:c>
      <x:c r="S35" s="48" t="n">
        <x:f>IF(OR(Q35="",R35=""),"",Q35+R35)</x:f>
        <x:v>260</x:v>
      </x:c>
      <x:c r="T35" s="49" t="n">
        <x:v>24.29</x:v>
      </x:c>
      <x:c r="U35" s="49" t="n">
        <x:f>ROUND(T35*10,2)</x:f>
        <x:v>242.9</x:v>
      </x:c>
      <x:c r="V35" s="50" t="str">
        <x:v>B0DW8L4YLM</x:v>
      </x:c>
      <x:c r="W35" s="50" t="str">
        <x:v>https://www.amazon.ca/dp/B0DW8L4YLM</x:v>
      </x:c>
      <x:c r="X35" s="51" t="n">
        <x:v>46273</x:v>
      </x:c>
      <x:c r="Y35" s="4"/>
      <x:c r="Z35" s="4"/>
      <x:c r="AA35" s="4"/>
      <x:c r="AB35" s="4"/>
      <x:c r="AC35" s="4"/>
      <x:c r="AD35" s="4"/>
    </x:row>
    <x:row r="36" s="2" customFormat="1" customHeight="1">
      <x:c r="A36" s="8" t="s">
        <x:v>163</x:v>
      </x:c>
      <x:c r="B36" s="9" t="e">
        <x:f>_xlfn.DISPIMG("ID_B26475B471C641AB93310700103D5710",1)</x:f>
        <x:v>#NAME?</x:v>
      </x:c>
      <x:c r="C36" s="10"/>
      <x:c r="D36" s="8" t="s">
        <x:v>167</x:v>
      </x:c>
      <x:c r="E36" s="11" t="s">
        <x:v>164</x:v>
      </x:c>
      <x:c r="F36" s="8" t="s">
        <x:v>165</x:v>
      </x:c>
      <x:c r="G36" s="11" t="s">
        <x:v>168</x:v>
      </x:c>
      <x:c r="H36" s="11" t="s">
        <x:v>168</x:v>
      </x:c>
      <x:c r="I36" s="8">
        <x:v>1450</x:v>
      </x:c>
      <x:c r="J36" s="8" t="n">
        <x:f>I36+100</x:f>
        <x:v>1550</x:v>
      </x:c>
      <x:c r="K36" s="10" t="s">
        <x:v>23</x:v>
      </x:c>
      <x:c r="L36" s="8">
        <x:v>1</x:v>
      </x:c>
      <x:c r="M36" s="11" t="s">
        <x:v>168</x:v>
      </x:c>
      <x:c r="N36" s="8" t="n">
        <x:f>J36*L36/1000</x:f>
        <x:v>1.55</x:v>
      </x:c>
      <x:c r="O36" s="21">
        <x:v>24</x:v>
      </x:c>
      <x:c r="P36" s="10">
        <x:v>4</x:v>
      </x:c>
      <x:c r="Q36" s="48" t="n">
        <x:f>IF(O36="","",O36*10)</x:f>
        <x:v>240</x:v>
      </x:c>
      <x:c r="R36" s="48" t="n">
        <x:f>IF(P36="","",P36*10)</x:f>
        <x:v>40</x:v>
      </x:c>
      <x:c r="S36" s="48" t="n">
        <x:f>IF(OR(Q36="",R36=""),"",Q36+R36)</x:f>
        <x:v>280</x:v>
      </x:c>
      <x:c r="T36" s="49" t="n">
        <x:v>24.29</x:v>
      </x:c>
      <x:c r="U36" s="49" t="n">
        <x:f>ROUND(T36*10,2)</x:f>
        <x:v>242.9</x:v>
      </x:c>
      <x:c r="V36" s="50" t="str">
        <x:v>B0DW8L4YLM</x:v>
      </x:c>
      <x:c r="W36" s="50" t="str">
        <x:v>https://www.amazon.ca/dp/B0DW8L4YLM</x:v>
      </x:c>
      <x:c r="X36" s="51" t="n">
        <x:v>46273</x:v>
      </x:c>
      <x:c r="Y36" s="4"/>
      <x:c r="Z36" s="4"/>
      <x:c r="AA36" s="4"/>
      <x:c r="AB36" s="4"/>
      <x:c r="AC36" s="4"/>
      <x:c r="AD36" s="4"/>
    </x:row>
  </x:sheetData>
  <x:mergeCells>
    <x:mergeCell ref="A16:A19"/>
    <x:mergeCell ref="A20:A21"/>
    <x:mergeCell ref="A26:A28"/>
    <x:mergeCell ref="C20:C21"/>
    <x:mergeCell ref="C30:C31"/>
    <x:mergeCell ref="F32:F34"/>
  </x:mergeCells>
  <x:pageMargins left="0.7" right="0.7" top="0.75" bottom="0.75" header="0.3" footer="0.3"/>
</x:worksheet>
</file>